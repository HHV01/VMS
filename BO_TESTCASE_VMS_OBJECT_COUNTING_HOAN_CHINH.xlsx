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 chi tiết" sheetId="1" state="visible" r:id="rId1"/>
    <sheet xmlns:r="http://schemas.openxmlformats.org/officeDocument/2006/relationships" name="Ảnh lỗi" sheetId="2" state="visible" r:id="rId2"/>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000000"/>
      <sz val="10"/>
    </font>
    <font>
      <name val="Calibri"/>
      <color rgb="00000000"/>
      <sz val="10"/>
    </font>
    <font>
      <name val="Calibri"/>
      <color rgb="000563C1"/>
      <sz val="10"/>
      <u val="single"/>
    </font>
    <font>
      <name val="Calibri"/>
      <b val="1"/>
      <color rgb="00FFFFFF"/>
      <sz val="11"/>
    </font>
    <font>
      <name val="Calibri"/>
      <b val="1"/>
      <color rgb="00155724"/>
      <sz val="10"/>
    </font>
    <font>
      <name val="Calibri"/>
      <b val="1"/>
      <color rgb="00721C24"/>
      <sz val="10"/>
    </font>
    <font>
      <name val="Calibri"/>
      <b val="1"/>
      <color rgb="00FF0000"/>
      <sz val="14"/>
    </font>
    <font>
      <name val="Calibri"/>
      <b val="1"/>
      <color rgb="00FF0000"/>
      <sz val="10"/>
    </font>
    <font>
      <name val="Calibri"/>
      <b val="1"/>
      <color rgb="00000000"/>
      <sz val="11"/>
    </font>
    <font>
      <name val="Times New Roman"/>
      <b val="1"/>
      <color rgb="009C0006"/>
      <sz val="10"/>
    </font>
    <font>
      <name val="Calibri"/>
      <b val="1"/>
      <color rgb="00FF0000"/>
      <sz val="11"/>
    </font>
    <font>
      <name val="Times New Roman"/>
      <b val="1"/>
      <color rgb="00002060"/>
      <sz val="13"/>
    </font>
    <font>
      <name val="Times New Roman"/>
      <b val="1"/>
      <color rgb="00000000"/>
      <sz val="10"/>
    </font>
    <font>
      <name val="Times New Roman"/>
      <sz val="10"/>
    </font>
    <font>
      <name val="Times New Roman"/>
      <b val="1"/>
      <color rgb="00B25900"/>
      <sz val="10"/>
    </font>
    <font>
      <name val="Times New Roman"/>
      <b val="1"/>
      <color rgb="00C00000"/>
      <sz val="10"/>
    </font>
    <font>
      <name val="Times New Roman"/>
      <b val="1"/>
      <color rgb="00002060"/>
      <sz val="11"/>
    </font>
    <font>
      <name val="Times New Roman"/>
      <b val="1"/>
      <color rgb="00006100"/>
      <sz val="10"/>
    </font>
    <font>
      <name val="Times New Roman"/>
      <i val="1"/>
      <color rgb="000563C1"/>
      <sz val="9"/>
      <u val="single"/>
    </font>
    <font>
      <name val="Times New Roman"/>
      <i val="1"/>
      <color rgb="00595959"/>
      <sz val="9"/>
    </font>
  </fonts>
  <fills count="11">
    <fill>
      <patternFill/>
    </fill>
    <fill>
      <patternFill patternType="gray125"/>
    </fill>
    <fill>
      <patternFill patternType="solid">
        <fgColor rgb="00FFC000"/>
        <bgColor rgb="00FFC000"/>
      </patternFill>
    </fill>
    <fill>
      <patternFill patternType="solid">
        <fgColor rgb="0000B050"/>
        <bgColor rgb="0000B050"/>
      </patternFill>
    </fill>
    <fill>
      <patternFill patternType="solid">
        <fgColor rgb="00FF0000"/>
        <bgColor rgb="00FF0000"/>
      </patternFill>
    </fill>
    <fill>
      <patternFill patternType="solid">
        <fgColor rgb="00D4EDDA"/>
        <bgColor rgb="00D4EDDA"/>
      </patternFill>
    </fill>
    <fill>
      <patternFill patternType="solid">
        <fgColor rgb="00F8D7DA"/>
        <bgColor rgb="00F8D7DA"/>
      </patternFill>
    </fill>
    <fill>
      <patternFill patternType="solid">
        <fgColor rgb="00FFC7CE"/>
        <bgColor rgb="00FFC7CE"/>
      </patternFill>
    </fill>
    <fill>
      <patternFill patternType="solid">
        <fgColor rgb="00FFF2CC"/>
        <bgColor rgb="00FFF2CC"/>
      </patternFill>
    </fill>
    <fill>
      <patternFill patternType="solid">
        <fgColor rgb="00F2F2F2"/>
        <bgColor rgb="00F2F2F2"/>
      </patternFill>
    </fill>
    <fill>
      <patternFill patternType="solid">
        <fgColor rgb="00C6EFCE"/>
        <bgColor rgb="00C6EFCE"/>
      </patternFill>
    </fill>
  </fills>
  <borders count="10">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6">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horizontal="center" vertical="center"/>
    </xf>
    <xf numFmtId="0" fontId="0" fillId="0" borderId="1" pivotButton="0" quotePrefix="0" xfId="0"/>
    <xf numFmtId="0" fontId="3" fillId="0" borderId="1" applyAlignment="1" pivotButton="0" quotePrefix="0" xfId="0">
      <alignment horizontal="center" vertical="center"/>
    </xf>
    <xf numFmtId="0" fontId="1" fillId="2" borderId="1" applyAlignment="1" pivotButton="0" quotePrefix="0" xfId="0">
      <alignment horizontal="center" vertical="center"/>
    </xf>
    <xf numFmtId="0" fontId="1" fillId="0" borderId="1" applyAlignment="1" pivotButton="0" quotePrefix="0" xfId="0">
      <alignment horizontal="center" vertical="center" wrapText="1"/>
    </xf>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1" fillId="0" borderId="1" applyAlignment="1" pivotButton="0" quotePrefix="0" xfId="0">
      <alignment horizontal="center" vertical="center"/>
    </xf>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0" fontId="5"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0" borderId="0" pivotButton="0" quotePrefix="0" xfId="0"/>
    <xf numFmtId="0" fontId="2" fillId="0" borderId="0" pivotButton="0" quotePrefix="0" xfId="0"/>
    <xf numFmtId="0" fontId="8" fillId="0" borderId="1" applyAlignment="1" pivotButton="0" quotePrefix="0" xfId="0">
      <alignment horizontal="center" vertical="center"/>
    </xf>
    <xf numFmtId="0" fontId="9" fillId="0" borderId="0" pivotButton="0" quotePrefix="0" xfId="0"/>
    <xf numFmtId="0" fontId="0" fillId="0" borderId="4" pivotButton="0" quotePrefix="0" xfId="0"/>
    <xf numFmtId="0" fontId="0" fillId="0" borderId="5" pivotButton="0" quotePrefix="0" xfId="0"/>
    <xf numFmtId="0" fontId="0" fillId="0" borderId="8" pivotButton="0" quotePrefix="0" xfId="0"/>
    <xf numFmtId="0" fontId="11" fillId="0" borderId="1" applyAlignment="1" pivotButton="0" quotePrefix="0" xfId="0">
      <alignment horizontal="center" vertical="center"/>
    </xf>
    <xf numFmtId="0" fontId="2" fillId="0" borderId="1" applyAlignment="1" pivotButton="0" quotePrefix="0" xfId="0">
      <alignment vertical="top" wrapText="1"/>
    </xf>
    <xf numFmtId="0" fontId="10" fillId="7" borderId="1" applyAlignment="1" pivotButton="0" quotePrefix="0" xfId="0">
      <alignment horizontal="center" vertical="center"/>
    </xf>
    <xf numFmtId="0" fontId="12" fillId="8" borderId="0" applyAlignment="1" pivotButton="0" quotePrefix="0" xfId="0">
      <alignment horizontal="center" vertical="center" wrapText="1"/>
    </xf>
    <xf numFmtId="0" fontId="13" fillId="2" borderId="1" applyAlignment="1" pivotButton="0" quotePrefix="0" xfId="0">
      <alignment horizontal="center" vertical="center" wrapText="1"/>
    </xf>
    <xf numFmtId="0" fontId="14" fillId="0" borderId="9" applyAlignment="1" pivotButton="0" quotePrefix="0" xfId="0">
      <alignment horizontal="center" vertical="center" wrapText="1"/>
    </xf>
    <xf numFmtId="0" fontId="14" fillId="0" borderId="9" applyAlignment="1" pivotButton="0" quotePrefix="0" xfId="0">
      <alignment horizontal="left" vertical="center" wrapText="1"/>
    </xf>
    <xf numFmtId="0" fontId="15" fillId="8" borderId="9" applyAlignment="1" pivotButton="0" quotePrefix="0" xfId="0">
      <alignment horizontal="center" vertical="center" wrapText="1"/>
    </xf>
    <xf numFmtId="0" fontId="16" fillId="9" borderId="9" applyAlignment="1" pivotButton="0" quotePrefix="0" xfId="0">
      <alignment horizontal="center" vertical="center" wrapText="1"/>
    </xf>
    <xf numFmtId="0" fontId="10" fillId="7" borderId="9" applyAlignment="1" pivotButton="0" quotePrefix="0" xfId="0">
      <alignment horizontal="center" vertical="center" wrapText="1"/>
    </xf>
    <xf numFmtId="0" fontId="17" fillId="0" borderId="0" pivotButton="0" quotePrefix="0" xfId="0"/>
    <xf numFmtId="0" fontId="16" fillId="0" borderId="0" pivotButton="0" quotePrefix="0" xfId="0"/>
    <xf numFmtId="0" fontId="18" fillId="10" borderId="1" applyAlignment="1" pivotButton="0" quotePrefix="0" xfId="0">
      <alignment horizontal="center" vertical="center"/>
    </xf>
    <xf numFmtId="0" fontId="5" fillId="5" borderId="1" applyAlignment="1" pivotButton="0" quotePrefix="0" xfId="0">
      <alignment horizontal="center" vertical="center"/>
    </xf>
    <xf numFmtId="0" fontId="14" fillId="0" borderId="1" applyAlignment="1" pivotButton="0" quotePrefix="0" xfId="0">
      <alignment horizontal="center" vertical="center"/>
    </xf>
    <xf numFmtId="0" fontId="19" fillId="7" borderId="1" applyAlignment="1" pivotButton="0" quotePrefix="0" xfId="0">
      <alignment horizontal="center" vertical="bottom"/>
    </xf>
    <xf numFmtId="0" fontId="2" fillId="0" borderId="9" applyAlignment="1" pivotButton="0" quotePrefix="0" xfId="0">
      <alignment horizontal="center" vertical="center" wrapText="1"/>
    </xf>
    <xf numFmtId="0" fontId="2" fillId="0" borderId="9" applyAlignment="1" pivotButton="0" quotePrefix="0" xfId="0">
      <alignment vertical="center" wrapText="1"/>
    </xf>
    <xf numFmtId="0" fontId="18" fillId="10" borderId="9" applyAlignment="1" pivotButton="0" quotePrefix="0" xfId="0">
      <alignment horizontal="center" vertical="center"/>
    </xf>
    <xf numFmtId="0" fontId="20" fillId="5" borderId="9" applyAlignment="1" pivotButton="0" quotePrefix="0" xfId="0">
      <alignment horizontal="center" vertical="center"/>
    </xf>
    <xf numFmtId="0" fontId="14" fillId="0" borderId="9" applyAlignment="1" pivotButton="0" quotePrefix="0" xfId="0">
      <alignment horizontal="center" vertical="center"/>
    </xf>
    <xf numFmtId="0" fontId="2" fillId="0" borderId="9" applyAlignment="1" pivotButton="0" quotePrefix="0" xfId="0">
      <alignment vertical="top" wrapText="1"/>
    </xf>
    <xf numFmtId="0" fontId="10" fillId="7" borderId="9" applyAlignment="1" pivotButton="0" quotePrefix="0" xfId="0">
      <alignment horizontal="center" vertical="center"/>
    </xf>
    <xf numFmtId="0" fontId="19" fillId="7" borderId="9" applyAlignment="1" pivotButton="0" quotePrefix="0" xfId="0">
      <alignment horizontal="center"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s>
</file>

<file path=xl/drawings/_rels/drawing2.xml.rels><Relationships xmlns="http://schemas.openxmlformats.org/package/2006/relationships"><Relationship Type="http://schemas.openxmlformats.org/officeDocument/2006/relationships/image" Target="/xl/media/image26.png" Id="rId1"/><Relationship Type="http://schemas.openxmlformats.org/officeDocument/2006/relationships/image" Target="/xl/media/image27.png" Id="rId2"/><Relationship Type="http://schemas.openxmlformats.org/officeDocument/2006/relationships/image" Target="/xl/media/image28.png" Id="rId3"/><Relationship Type="http://schemas.openxmlformats.org/officeDocument/2006/relationships/image" Target="/xl/media/image29.png" Id="rId4"/><Relationship Type="http://schemas.openxmlformats.org/officeDocument/2006/relationships/image" Target="/xl/media/image30.png" Id="rId5"/><Relationship Type="http://schemas.openxmlformats.org/officeDocument/2006/relationships/image" Target="/xl/media/image31.png" Id="rId6"/></Relationships>
</file>

<file path=xl/drawings/drawing1.xml><?xml version="1.0" encoding="utf-8"?>
<wsDr xmlns="http://schemas.openxmlformats.org/drawingml/2006/spreadsheetDrawing">
  <oneCellAnchor>
    <from>
      <col>10</col>
      <colOff>0</colOff>
      <row>21</row>
      <rowOff>0</rowOff>
    </from>
    <ext cx="381000" cy="838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10</col>
      <colOff>0</colOff>
      <row>25</row>
      <rowOff>0</rowOff>
    </from>
    <ext cx="1609725" cy="838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10</col>
      <colOff>0</colOff>
      <row>26</row>
      <rowOff>0</rowOff>
    </from>
    <ext cx="1609725" cy="838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10</col>
      <colOff>0</colOff>
      <row>27</row>
      <rowOff>0</rowOff>
    </from>
    <ext cx="1485900" cy="838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10</col>
      <colOff>0</colOff>
      <row>37</row>
      <rowOff>0</rowOff>
    </from>
    <ext cx="2476500" cy="523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10</col>
      <colOff>0</colOff>
      <row>40</row>
      <rowOff>0</rowOff>
    </from>
    <ext cx="2476500" cy="762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10</col>
      <colOff>0</colOff>
      <row>42</row>
      <rowOff>0</rowOff>
    </from>
    <ext cx="923925" cy="838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10</col>
      <colOff>0</colOff>
      <row>46</row>
      <rowOff>0</rowOff>
    </from>
    <ext cx="2476500" cy="762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10</col>
      <colOff>0</colOff>
      <row>47</row>
      <rowOff>0</rowOff>
    </from>
    <ext cx="1019175" cy="838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10</col>
      <colOff>0</colOff>
      <row>48</row>
      <rowOff>0</rowOff>
    </from>
    <ext cx="2095500" cy="838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10</col>
      <colOff>0</colOff>
      <row>50</row>
      <rowOff>0</rowOff>
    </from>
    <ext cx="2095500" cy="838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10</col>
      <colOff>0</colOff>
      <row>55</row>
      <rowOff>0</rowOff>
    </from>
    <ext cx="2476500" cy="5524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10</col>
      <colOff>0</colOff>
      <row>57</row>
      <rowOff>0</rowOff>
    </from>
    <ext cx="2409825" cy="838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10</col>
      <colOff>0</colOff>
      <row>59</row>
      <rowOff>0</rowOff>
    </from>
    <ext cx="2409825" cy="838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10</col>
      <colOff>0</colOff>
      <row>60</row>
      <rowOff>0</rowOff>
    </from>
    <ext cx="2409825" cy="838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10</col>
      <colOff>0</colOff>
      <row>67</row>
      <rowOff>0</rowOff>
    </from>
    <ext cx="1019175" cy="838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10</col>
      <colOff>0</colOff>
      <row>68</row>
      <rowOff>0</rowOff>
    </from>
    <ext cx="1485900" cy="838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10</col>
      <colOff>0</colOff>
      <row>69</row>
      <rowOff>0</rowOff>
    </from>
    <ext cx="1485900" cy="838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10</col>
      <colOff>0</colOff>
      <row>70</row>
      <rowOff>0</rowOff>
    </from>
    <ext cx="1485900" cy="838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10</col>
      <colOff>0</colOff>
      <row>71</row>
      <rowOff>0</rowOff>
    </from>
    <ext cx="1485900" cy="838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10</col>
      <colOff>0</colOff>
      <row>72</row>
      <rowOff>0</rowOff>
    </from>
    <ext cx="1485900" cy="838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10</col>
      <colOff>0</colOff>
      <row>74</row>
      <rowOff>0</rowOff>
    </from>
    <ext cx="2409825" cy="838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10</col>
      <colOff>0</colOff>
      <row>81</row>
      <rowOff>0</rowOff>
    </from>
    <ext cx="381000" cy="838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10</col>
      <colOff>0</colOff>
      <row>82</row>
      <rowOff>0</rowOff>
    </from>
    <ext cx="2095500" cy="838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10</col>
      <colOff>0</colOff>
      <row>83</row>
      <rowOff>0</rowOff>
    </from>
    <ext cx="2409825" cy="838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24</row>
      <rowOff>0</rowOff>
    </from>
    <ext cx="2524125" cy="2476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39</row>
      <rowOff>0</rowOff>
    </from>
    <ext cx="7143750" cy="3019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54</row>
      <rowOff>0</rowOff>
    </from>
    <ext cx="7143750" cy="40100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69</row>
      <rowOff>0</rowOff>
    </from>
    <ext cx="3305175" cy="27146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84</row>
      <rowOff>0</rowOff>
    </from>
    <ext cx="4162425" cy="26003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99</row>
      <rowOff>0</rowOff>
    </from>
    <ext cx="5829300" cy="19240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L86"/>
  <sheetViews>
    <sheetView showGridLines="1" workbookViewId="0">
      <selection activeCell="A1" sqref="A1"/>
    </sheetView>
  </sheetViews>
  <sheetFormatPr baseColWidth="8" defaultRowHeight="15"/>
  <cols>
    <col width="14" customWidth="1" min="1" max="1"/>
    <col width="22" customWidth="1" min="2" max="2"/>
    <col width="12" customWidth="1" min="3" max="3"/>
    <col width="35" customWidth="1" min="4" max="4"/>
    <col width="30" customWidth="1" min="5" max="5"/>
    <col width="35" customWidth="1" min="6" max="6"/>
    <col width="25" customWidth="1" min="7" max="7"/>
    <col width="38" customWidth="1" min="8" max="8"/>
    <col width="45" customWidth="1" min="9" max="9"/>
    <col width="14" customWidth="1" min="10" max="10"/>
    <col width="40" customWidth="1" min="11" max="11"/>
    <col width="18" customWidth="1" min="12" max="12"/>
  </cols>
  <sheetData>
    <row r="1">
      <c r="A1" s="1" t="inlineStr">
        <is>
          <t>Tên dự án (Project's Name):</t>
        </is>
      </c>
      <c r="B1" s="2" t="inlineStr">
        <is>
          <t>Hệ thống camera VMS</t>
        </is>
      </c>
      <c r="C1" s="19" t="n"/>
      <c r="D1" s="19" t="n"/>
      <c r="E1" s="19" t="n"/>
      <c r="F1" s="20" t="n"/>
    </row>
    <row r="2">
      <c r="A2" s="1" t="inlineStr">
        <is>
          <t>Tên module (Module's Name):</t>
        </is>
      </c>
      <c r="B2" s="2" t="inlineStr">
        <is>
          <t>Đếm đối tượng (Object Counting)</t>
        </is>
      </c>
      <c r="C2" s="19" t="n"/>
      <c r="D2" s="19" t="n"/>
      <c r="E2" s="19" t="n"/>
      <c r="F2" s="20" t="n"/>
    </row>
    <row r="3">
      <c r="A3" s="1" t="inlineStr">
        <is>
          <t>Tài liệu (Reference Document):</t>
        </is>
      </c>
      <c r="B3" s="4" t="inlineStr">
        <is>
          <t>UI- Operation - draw.io (Page: Đếm người)</t>
        </is>
      </c>
      <c r="C3" s="19" t="n"/>
      <c r="D3" s="19" t="n"/>
      <c r="E3" s="19" t="n"/>
      <c r="F3" s="20" t="n"/>
    </row>
    <row r="4">
      <c r="A4" s="1" t="inlineStr">
        <is>
          <t>Người tạo (Author):</t>
        </is>
      </c>
      <c r="B4" s="2" t="inlineStr">
        <is>
          <t>Nguyễn Thị Minh Tâm</t>
        </is>
      </c>
      <c r="C4" s="19" t="n"/>
      <c r="D4" s="19" t="n"/>
      <c r="E4" s="19" t="n"/>
      <c r="F4" s="20" t="n"/>
    </row>
    <row r="5">
      <c r="A5" s="1" t="inlineStr">
        <is>
          <t>Ngày tạo (Creation Date):</t>
        </is>
      </c>
      <c r="B5" s="2" t="inlineStr">
        <is>
          <t>17/9/2026</t>
        </is>
      </c>
      <c r="C5" s="19" t="n"/>
      <c r="D5" s="19" t="n"/>
      <c r="E5" s="19" t="n"/>
      <c r="F5" s="20" t="n"/>
    </row>
    <row r="6">
      <c r="A6" s="1" t="inlineStr">
        <is>
          <t>Người review (Reviewer):</t>
        </is>
      </c>
      <c r="B6" s="2" t="inlineStr">
        <is>
          <t>Hoàng Hồng Vân</t>
        </is>
      </c>
      <c r="C6" s="19" t="n"/>
      <c r="D6" s="19" t="n"/>
      <c r="E6" s="19" t="n"/>
      <c r="F6" s="20" t="n"/>
    </row>
    <row r="7">
      <c r="A7" s="1" t="inlineStr">
        <is>
          <t>Phiên bản (Version):</t>
        </is>
      </c>
      <c r="B7" s="2" t="inlineStr">
        <is>
          <t>v2.7.0 / v2.8.0-Dev</t>
        </is>
      </c>
      <c r="C7" s="19" t="n"/>
      <c r="D7" s="19" t="n"/>
      <c r="E7" s="19" t="n"/>
      <c r="F7" s="20" t="n"/>
    </row>
    <row r="8">
      <c r="A8" s="5" t="inlineStr">
        <is>
          <t>Kết quả (Results):</t>
        </is>
      </c>
      <c r="B8" s="6" t="inlineStr">
        <is>
          <t>Tổng số case
(Total)</t>
        </is>
      </c>
      <c r="C8" s="7" t="inlineStr">
        <is>
          <t>Pass</t>
        </is>
      </c>
      <c r="D8" s="20" t="n"/>
      <c r="E8" s="8" t="inlineStr">
        <is>
          <t>Fail</t>
        </is>
      </c>
      <c r="F8" s="20" t="n"/>
    </row>
    <row r="9">
      <c r="A9" s="21" t="n"/>
      <c r="B9" s="9" t="n">
        <v>75</v>
      </c>
      <c r="C9" s="9" t="n">
        <v>50</v>
      </c>
      <c r="D9" s="20" t="n"/>
      <c r="E9" s="22" t="n">
        <v>25</v>
      </c>
      <c r="F9" s="20" t="n"/>
    </row>
    <row r="11" ht="32" customHeight="1">
      <c r="A11" s="26" t="inlineStr">
        <is>
          <t>Mã kịch bản
(Scenario ID)</t>
        </is>
      </c>
      <c r="B11" s="26" t="inlineStr">
        <is>
          <t>Tên kịch bản
(Scenario Title)</t>
        </is>
      </c>
      <c r="C11" s="26" t="inlineStr">
        <is>
          <t>Mã kiểm thử
(Test Case ID)</t>
        </is>
      </c>
      <c r="D11" s="26" t="inlineStr">
        <is>
          <t>Kịch bản chi tiết
(Test Case Description)</t>
        </is>
      </c>
      <c r="E11" s="26" t="inlineStr">
        <is>
          <t>Điều kiện tiên quyết
(Pre-conditions)</t>
        </is>
      </c>
      <c r="F11" s="26" t="inlineStr">
        <is>
          <t>Các bước kiểm thử
(Test Steps)</t>
        </is>
      </c>
      <c r="G11" s="26" t="inlineStr">
        <is>
          <t>Dữ liệu kiểm thử
(Test Data)</t>
        </is>
      </c>
      <c r="H11" s="26" t="inlineStr">
        <is>
          <t>Kết quả mong đợi
(Expected Results)</t>
        </is>
      </c>
      <c r="I11" s="26" t="inlineStr">
        <is>
          <t>Kết quả thực tế
(Actual Results)</t>
        </is>
      </c>
      <c r="J11" s="26" t="inlineStr">
        <is>
          <t>Tình trạng
(Status)</t>
        </is>
      </c>
      <c r="K11" s="26" t="inlineStr">
        <is>
          <t>Hình ảnh minh chứng lỗi
(Evidence Screenshot)</t>
        </is>
      </c>
      <c r="L11" s="26" t="inlineStr">
        <is>
          <t>Người thực hiện
(Tester)</t>
        </is>
      </c>
    </row>
    <row r="12" ht="28" customHeight="1">
      <c r="A12" s="38" t="inlineStr">
        <is>
          <t>OC-NAV-001</t>
        </is>
      </c>
      <c r="B12" s="39" t="inlineStr">
        <is>
          <t>Truy cập &amp; bố cục trang</t>
        </is>
      </c>
      <c r="C12" s="38" t="inlineStr">
        <is>
          <t>OC-001</t>
        </is>
      </c>
      <c r="D12" s="39" t="inlineStr">
        <is>
          <t>Truy cập trang Đếm đối tượng từ menu</t>
        </is>
      </c>
      <c r="E12" s="39" t="inlineStr">
        <is>
          <t>Đã đăng nhập VMS bằng tài khoản có quyền xem Đếm đối tượng.</t>
        </is>
      </c>
      <c r="F12" s="39" t="inlineStr">
        <is>
          <t>1. Ở sidebar, nhóm "PHÂN TÍCH VIDEO THÔNG MINH", bấm "Đếm đối tượng".</t>
        </is>
      </c>
      <c r="G12" s="39" t="inlineStr">
        <is>
          <t>Camera: LH-HV-LL_CAM-04 | Quy tắc: default_name | Đối tượng: Tất cả</t>
        </is>
      </c>
      <c r="H12" s="39" t="inlineStr">
        <is>
          <t>• Mở trang Đếm đối tượng, mục menu được tô đang chọn.
• Breadcrumb: "Phân tích video thông minh → Đếm đối tượng → Giám sát và thống kê".
• Tab "Giám sát và thống kê" là tab mặc định.</t>
        </is>
      </c>
      <c r="I12" s="39" t="inlineStr">
        <is>
          <t>URL tải thành công: http://180.148.1.242:8004/video-analytic/object-counting?ruleType=line&amp;cameraId=LH-HV-LL_CAM-04&amp;ruleCode=R-object_counting-crossline-10156. Title: "Smart VMS". Sidebar highlight đúng menu 'Đếm đối tượng'.</t>
        </is>
      </c>
      <c r="J12" s="40" t="inlineStr">
        <is>
          <t>PASS</t>
        </is>
      </c>
      <c r="K12" s="41" t="inlineStr">
        <is>
          <t>Pass - Đúng đặc tả</t>
        </is>
      </c>
      <c r="L12" s="42" t="inlineStr">
        <is>
          <t>Hoàng Hồng Vân</t>
        </is>
      </c>
    </row>
    <row r="13" ht="28" customHeight="1">
      <c r="A13" s="38" t="inlineStr">
        <is>
          <t>OC-NAV-001</t>
        </is>
      </c>
      <c r="B13" s="39" t="inlineStr">
        <is>
          <t>Truy cập &amp; bố cục trang</t>
        </is>
      </c>
      <c r="C13" s="38" t="inlineStr">
        <is>
          <t>OC-002</t>
        </is>
      </c>
      <c r="D13" s="39" t="inlineStr">
        <is>
          <t>Bố cục vùng Live và vùng Metrics</t>
        </is>
      </c>
      <c r="E13"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13" s="39" t="inlineStr">
        <is>
          <t>1. Quan sát tỷ lệ chiều ngang của 2 vùng.</t>
        </is>
      </c>
      <c r="G13" s="39" t="inlineStr">
        <is>
          <t>Camera: LH-HV-LL_CAM-04 | Quy tắc: default_name | Đối tượng: Tất cả</t>
        </is>
      </c>
      <c r="H13" s="39" t="inlineStr">
        <is>
          <t>• Vùng Live chiếm 3/5 chiều ngang vùng nội dung, vùng Metrics chiếm 2/5.</t>
        </is>
      </c>
      <c r="I13" s="39" t="inlineStr">
        <is>
          <t>Đã đo tỷ lệ khung: Vùng Live View chiếm 60% (3/5) bề ngang, vùng Metrics chiếm 40% (2/5) bề ngang màn hình.</t>
        </is>
      </c>
      <c r="J13" s="40" t="inlineStr">
        <is>
          <t>PASS</t>
        </is>
      </c>
      <c r="K13" s="41" t="inlineStr">
        <is>
          <t>Pass - Đúng đặc tả</t>
        </is>
      </c>
      <c r="L13" s="42" t="inlineStr">
        <is>
          <t>Hoàng Hồng Vân</t>
        </is>
      </c>
    </row>
    <row r="14" ht="28" customHeight="1">
      <c r="A14" s="38" t="inlineStr">
        <is>
          <t>OC-NAV-001</t>
        </is>
      </c>
      <c r="B14" s="39" t="inlineStr">
        <is>
          <t>Truy cập &amp; bố cục trang</t>
        </is>
      </c>
      <c r="C14" s="38" t="inlineStr">
        <is>
          <t>OC-003</t>
        </is>
      </c>
      <c r="D14" s="39" t="inlineStr">
        <is>
          <t>Loại đếm mặc định là Crossline</t>
        </is>
      </c>
      <c r="E14" s="39" t="inlineStr">
        <is>
          <t>Đã đăng nhập VMS bằng tài khoản có quyền xem Đếm đối tượng.
Camera test đã cấu hình 3 quy tắc đang bật: 1 Crossline (2 chiều), 1 Area Occupancy (có Capacity), 1 Lane (3 làn).
Camera Online, AI đang chạy.</t>
        </is>
      </c>
      <c r="F14" s="39" t="inlineStr">
        <is>
          <t>1. Mở tab Giám sát và thống kê.</t>
        </is>
      </c>
      <c r="G14" s="39" t="inlineStr">
        <is>
          <t>Camera: LH-HV-LL_CAM-04 | Quy tắc: default_name | Đối tượng: Tất cả</t>
        </is>
      </c>
      <c r="H14" s="39" t="inlineStr">
        <is>
          <t>• Loại đếm được chọn sẵn là "Đếm theo đường (Crossline)".</t>
        </is>
      </c>
      <c r="I14" s="39" t="inlineStr">
        <is>
          <t>Nút toggle '/ Đường cắt' (Crossline) được kích hoạt và chọn làm chế độ mặc định khi vào trang.</t>
        </is>
      </c>
      <c r="J14" s="40" t="inlineStr">
        <is>
          <t>PASS</t>
        </is>
      </c>
      <c r="K14" s="41" t="inlineStr">
        <is>
          <t>Pass - Đúng đặc tả</t>
        </is>
      </c>
      <c r="L14" s="42" t="inlineStr">
        <is>
          <t>Hoàng Hồng Vân</t>
        </is>
      </c>
    </row>
    <row r="15" ht="28" customHeight="1">
      <c r="A15" s="38" t="inlineStr">
        <is>
          <t>OC-NAV-001</t>
        </is>
      </c>
      <c r="B15" s="39" t="inlineStr">
        <is>
          <t>Truy cập &amp; bố cục trang</t>
        </is>
      </c>
      <c r="C15" s="38" t="inlineStr">
        <is>
          <t>OC-004</t>
        </is>
      </c>
      <c r="D15" s="39" t="inlineStr">
        <is>
          <t>Bố cục khi thu nhỏ cửa sổ</t>
        </is>
      </c>
      <c r="E15"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15" s="39" t="inlineStr">
        <is>
          <t>1. Thu nhỏ cửa sổ trình duyệt xuống khoảng 1280 px chiều ngang.
2. Quan sát vùng Live, vùng Metrics, bảng và biểu đồ.</t>
        </is>
      </c>
      <c r="G15" s="39" t="inlineStr">
        <is>
          <t>Camera: LH-HV-LL_CAM-04 | Quy tắc: default_name | Đối tượng: Tất cả</t>
        </is>
      </c>
      <c r="H15" s="39" t="inlineStr">
        <is>
          <t>• Vùng Live và vùng Metrics vẫn giữ tỷ lệ 3/5 và 2/5, hoặc xếp dọc theo quy định thiết kế.
• Bảng có thanh cuộn ngang thay vì bị cắt mất cột.
• Không có phần tử nào che nhau.</t>
        </is>
      </c>
      <c r="I15" s="39" t="inlineStr">
        <is>
          <t>Đã resize viewport về 1280x720. Giao diện tự động co giãn responsive, bảng xuất hiện thanh cuộn ngang mượt mà.</t>
        </is>
      </c>
      <c r="J15" s="40" t="inlineStr">
        <is>
          <t>PASS</t>
        </is>
      </c>
      <c r="K15" s="41" t="inlineStr">
        <is>
          <t>Pass - Đúng đặc tả</t>
        </is>
      </c>
      <c r="L15" s="42" t="inlineStr">
        <is>
          <t>Hoàng Hồng Vân</t>
        </is>
      </c>
    </row>
    <row r="16" ht="28" customHeight="1">
      <c r="A16" s="38" t="inlineStr">
        <is>
          <t>OC-FILTER-001</t>
        </is>
      </c>
      <c r="B16" s="39" t="inlineStr">
        <is>
          <t>Bộ lọc và ràng buộc</t>
        </is>
      </c>
      <c r="C16" s="38" t="inlineStr">
        <is>
          <t>OC-005</t>
        </is>
      </c>
      <c r="D16" s="39" t="inlineStr">
        <is>
          <t>Camera không được tự chọn khi mở trang</t>
        </is>
      </c>
      <c r="E16" s="39" t="inlineStr">
        <is>
          <t>Đã đăng nhập VMS bằng tài khoản có quyền xem Đếm đối tượng.
Camera test đã cấu hình 3 quy tắc đang bật: 1 Crossline (2 chiều), 1 Area Occupancy (có Capacity), 1 Lane (3 làn).
Camera Online, AI đang chạy.</t>
        </is>
      </c>
      <c r="F16" s="39" t="inlineStr">
        <is>
          <t>1. Mở tab Giám sát và thống kê.
2. Quan sát ô chọn Camera.</t>
        </is>
      </c>
      <c r="G16" s="39" t="inlineStr">
        <is>
          <t>Camera: LH-HV-LL_CAM-04 | Quy tắc: default_name | Đối tượng: Tất cả</t>
        </is>
      </c>
      <c r="H16" s="39" t="inlineStr">
        <is>
          <t>• Ô Camera để trống, không tự chọn camera nào.
• Vùng Live, KPI và biểu đồ chưa tải dữ liệu.</t>
        </is>
      </c>
      <c r="I16" s="39" t="inlineStr">
        <is>
          <t>Khi truy cập trang không có param, ô Camera ở trạng thái rỗng placeholder, chưa tự động kích hoạt tải video.</t>
        </is>
      </c>
      <c r="J16" s="40" t="inlineStr">
        <is>
          <t>PASS</t>
        </is>
      </c>
      <c r="K16" s="41" t="inlineStr">
        <is>
          <t>Pass - Đúng đặc tả</t>
        </is>
      </c>
      <c r="L16" s="42" t="inlineStr">
        <is>
          <t>Hoàng Hồng Vân</t>
        </is>
      </c>
    </row>
    <row r="17" ht="28" customHeight="1">
      <c r="A17" s="38" t="inlineStr">
        <is>
          <t>OC-FILTER-001</t>
        </is>
      </c>
      <c r="B17" s="39" t="inlineStr">
        <is>
          <t>Bộ lọc và ràng buộc</t>
        </is>
      </c>
      <c r="C17" s="38" t="inlineStr">
        <is>
          <t>OC-006</t>
        </is>
      </c>
      <c r="D17" s="39" t="inlineStr">
        <is>
          <t>Ô Quy tắc bị vô hiệu khi chưa chọn camera</t>
        </is>
      </c>
      <c r="E17" s="39" t="inlineStr">
        <is>
          <t>Đã đăng nhập VMS bằng tài khoản có quyền xem Đếm đối tượng.
Camera test đã cấu hình 3 quy tắc đang bật: 1 Crossline (2 chiều), 1 Area Occupancy (có Capacity), 1 Lane (3 làn).
Camera Online, AI đang chạy.</t>
        </is>
      </c>
      <c r="F17" s="39" t="inlineStr">
        <is>
          <t>1. Mở trang, chưa chọn camera.
2. Bấm vào ô Quy tắc.</t>
        </is>
      </c>
      <c r="G17" s="39" t="inlineStr">
        <is>
          <t>Camera: LH-HV-LL_CAM-04 | Quy tắc: default_name | Đối tượng: Tất cả</t>
        </is>
      </c>
      <c r="H17" s="39" t="inlineStr">
        <is>
          <t>• Ô Quy tắc ở trạng thái vô hiệu, không mở được danh sách.</t>
        </is>
      </c>
      <c r="I17" s="39" t="inlineStr">
        <is>
          <t>Kiểm tra selector: Dropdown Quy tắc ở trạng thái disabled (khóa mờ) khi chưa có camera được chọn.</t>
        </is>
      </c>
      <c r="J17" s="40" t="inlineStr">
        <is>
          <t>PASS</t>
        </is>
      </c>
      <c r="K17" s="41" t="inlineStr">
        <is>
          <t>Pass - Đúng đặc tả</t>
        </is>
      </c>
      <c r="L17" s="42" t="inlineStr">
        <is>
          <t>Hoàng Hồng Vân</t>
        </is>
      </c>
    </row>
    <row r="18" ht="28" customHeight="1">
      <c r="A18" s="38" t="inlineStr">
        <is>
          <t>OC-FILTER-001</t>
        </is>
      </c>
      <c r="B18" s="39" t="inlineStr">
        <is>
          <t>Bộ lọc và ràng buộc</t>
        </is>
      </c>
      <c r="C18" s="38" t="inlineStr">
        <is>
          <t>OC-007</t>
        </is>
      </c>
      <c r="D18" s="39" t="inlineStr">
        <is>
          <t>Danh sách quy tắc lọc theo loại đếm và camera</t>
        </is>
      </c>
      <c r="E18" s="39" t="inlineStr">
        <is>
          <t>Đã đăng nhập VMS bằng tài khoản có quyền xem Đếm đối tượng.
Camera test đã cấu hình 3 quy tắc đang bật: 1 Crossline (2 chiều), 1 Area Occupancy (có Capacity), 1 Lane (3 làn).
Camera Online, AI đang chạy.</t>
        </is>
      </c>
      <c r="F18" s="39" t="inlineStr">
        <is>
          <t>1. Chọn loại đếm Crossline.
2. Chọn camera test.
3. Mở danh sách Quy tắc.</t>
        </is>
      </c>
      <c r="G18" s="39" t="inlineStr">
        <is>
          <t>Camera: LH-HV-LL_CAM-04 | Quy tắc: default_name | Đối tượng: Tất cả</t>
        </is>
      </c>
      <c r="H18" s="39" t="inlineStr">
        <is>
          <t>• Chỉ hiển thị quy tắc Crossline của camera đã chọn.
• Không hiển thị quy tắc Area, Lane hay quy tắc của camera khác.</t>
        </is>
      </c>
      <c r="I18" s="39" t="inlineStr">
        <is>
          <t>Đã chọn camera 'LH-HV-LL_CAM-04' và mode Đường cắt. Dropdown quy tắc hiển thị đúng rule 'default_name'.</t>
        </is>
      </c>
      <c r="J18" s="40" t="inlineStr">
        <is>
          <t>PASS</t>
        </is>
      </c>
      <c r="K18" s="41" t="inlineStr">
        <is>
          <t>Pass - Đúng đặc tả</t>
        </is>
      </c>
      <c r="L18" s="42" t="inlineStr">
        <is>
          <t>Hoàng Hồng Vân</t>
        </is>
      </c>
    </row>
    <row r="19" ht="28" customHeight="1">
      <c r="A19" s="38" t="inlineStr">
        <is>
          <t>OC-FILTER-001</t>
        </is>
      </c>
      <c r="B19" s="39" t="inlineStr">
        <is>
          <t>Bộ lọc và ràng buộc</t>
        </is>
      </c>
      <c r="C19" s="38" t="inlineStr">
        <is>
          <t>OC-008</t>
        </is>
      </c>
      <c r="D19" s="39" t="inlineStr">
        <is>
          <t>Đổi camera thì reset quy tắc</t>
        </is>
      </c>
      <c r="E19"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19" s="39" t="inlineStr">
        <is>
          <t>1. Đổi sang camera khác cũng có quy tắc Crossline.</t>
        </is>
      </c>
      <c r="G19" s="39" t="inlineStr">
        <is>
          <t>Camera: LH-HV-LL_CAM-04 | Quy tắc: default_name | Đối tượng: Tất cả</t>
        </is>
      </c>
      <c r="H19" s="39" t="inlineStr">
        <is>
          <t>• Ô Quy tắc bị xóa lựa chọn cũ.
• Danh sách quy tắc tải lại theo camera mới.
• KPI và biểu đồ chưa tải lại cho tới khi chọn quy tắc mới.</t>
        </is>
      </c>
      <c r="I19" s="39" t="inlineStr">
        <is>
          <t>Tương tác chuyển đổi camera: Ô Quy tắc lập tức được reset về rỗng để người dùng chọn rule tương ứng.</t>
        </is>
      </c>
      <c r="J19" s="40" t="inlineStr">
        <is>
          <t>PASS</t>
        </is>
      </c>
      <c r="K19" s="41" t="inlineStr">
        <is>
          <t>Pass - Đúng đặc tả</t>
        </is>
      </c>
      <c r="L19" s="42" t="inlineStr">
        <is>
          <t>Hoàng Hồng Vân</t>
        </is>
      </c>
    </row>
    <row r="20" ht="28" customHeight="1">
      <c r="A20" s="38" t="inlineStr">
        <is>
          <t>OC-FILTER-001</t>
        </is>
      </c>
      <c r="B20" s="39" t="inlineStr">
        <is>
          <t>Bộ lọc và ràng buộc</t>
        </is>
      </c>
      <c r="C20" s="38" t="inlineStr">
        <is>
          <t>OC-009</t>
        </is>
      </c>
      <c r="D20" s="39" t="inlineStr">
        <is>
          <t>Đổi loại đếm khi camera có quy tắc phù hợp</t>
        </is>
      </c>
      <c r="E20"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20" s="39" t="inlineStr">
        <is>
          <t>1. Đổi loại đếm sang "Đếm trong vùng (Area Occupancy)".</t>
        </is>
      </c>
      <c r="G20" s="39" t="inlineStr">
        <is>
          <t>Camera: LH-HV-LL_CAM-04 | Quy tắc: default_name | Đối tượng: Tất cả</t>
        </is>
      </c>
      <c r="H20" s="39" t="inlineStr">
        <is>
          <t>• Camera đang chọn được giữ nguyên.
• Quy tắc bị reset, danh sách tải lại chỉ gồm quy tắc Area của camera đó.
• Đối tượng trở về mặc định Tất cả.</t>
        </is>
      </c>
      <c r="I20" s="39" t="inlineStr">
        <is>
          <t>Click chuyển sang chế độ '⬡ Vùng': Camera được giữ nguyên, danh sách quy tắc tự động lọc lại theo loại Vùng.</t>
        </is>
      </c>
      <c r="J20" s="40" t="inlineStr">
        <is>
          <t>PASS</t>
        </is>
      </c>
      <c r="K20" s="41" t="inlineStr">
        <is>
          <t>Pass - Đúng đặc tả</t>
        </is>
      </c>
      <c r="L20" s="42" t="inlineStr">
        <is>
          <t>Hoàng Hồng Vân</t>
        </is>
      </c>
    </row>
    <row r="21" ht="28" customHeight="1">
      <c r="A21" s="38" t="inlineStr">
        <is>
          <t>OC-FILTER-001</t>
        </is>
      </c>
      <c r="B21" s="39" t="inlineStr">
        <is>
          <t>Bộ lọc và ràng buộc</t>
        </is>
      </c>
      <c r="C21" s="38" t="inlineStr">
        <is>
          <t>OC-010</t>
        </is>
      </c>
      <c r="D21" s="39" t="inlineStr">
        <is>
          <t>Đổi loại đếm khi camera không có quy tắc phù hợp</t>
        </is>
      </c>
      <c r="E21" s="39" t="inlineStr">
        <is>
          <t>Đã đăng nhập VMS bằng tài khoản có quyền xem Đếm đối tượng.
Camera test đã cấu hình 3 quy tắc đang bật: 1 Crossline (2 chiều), 1 Area Occupancy (có Capacity), 1 Lane (3 làn).
Camera Online, AI đang chạy.</t>
        </is>
      </c>
      <c r="F21" s="39" t="inlineStr">
        <is>
          <t>1. Chọn một camera chỉ có quy tắc Crossline.
2. Đổi loại đếm sang Lane.</t>
        </is>
      </c>
      <c r="G21" s="39" t="inlineStr">
        <is>
          <t>Camera: LH-HV-LL_CAM-04 | Quy tắc: default_name | Đối tượng: Tất cả</t>
        </is>
      </c>
      <c r="H21" s="39" t="inlineStr">
        <is>
          <t>• Hiển thị trạng thái không có quy tắc phù hợp cho camera này.
• Không tải KPI, không hiển thị số liệu cũ của loại đếm trước.</t>
        </is>
      </c>
      <c r="I21" s="39" t="inlineStr">
        <is>
          <t>Khi chuyển sang mode không có rule cấu hình, hệ thống hiển thị thông báo 'Không có quy tắc phù hợp' và reset KPI.</t>
        </is>
      </c>
      <c r="J21" s="40" t="inlineStr">
        <is>
          <t>PASS</t>
        </is>
      </c>
      <c r="K21" s="41" t="inlineStr">
        <is>
          <t>Pass - Đúng đặc tả</t>
        </is>
      </c>
      <c r="L21" s="42" t="inlineStr">
        <is>
          <t>Hoàng Hồng Vân</t>
        </is>
      </c>
    </row>
    <row r="22" ht="100" customHeight="1">
      <c r="A22" s="38" t="inlineStr">
        <is>
          <t>OC-FILTER-001</t>
        </is>
      </c>
      <c r="B22" s="39" t="inlineStr">
        <is>
          <t>Bộ lọc và ràng buộc</t>
        </is>
      </c>
      <c r="C22" s="38" t="inlineStr">
        <is>
          <t>OC-011</t>
        </is>
      </c>
      <c r="D22" s="39" t="inlineStr">
        <is>
          <t>Đối tượng mặc định Tất cả và lấy theo quy tắc</t>
        </is>
      </c>
      <c r="E22"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22" s="39" t="inlineStr">
        <is>
          <t>1. Quan sát ô Đối tượng sau khi chọn quy tắc.</t>
        </is>
      </c>
      <c r="G22" s="39" t="inlineStr">
        <is>
          <t>Camera: LH-HV-LL_CAM-04 | Quy tắc: default_name | Đối tượng: Tất cả</t>
        </is>
      </c>
      <c r="H22" s="39" t="inlineStr">
        <is>
          <t>• Mặc định chọn Tất cả.
• Danh sách chỉ gồm đối tượng đã cấu hình trong quy tắc, trong phạm vi: Người, Xe máy, Ô tô, Xe tải, Xe buýt, Container.</t>
        </is>
      </c>
      <c r="I22" s="43" t="inlineStr">
        <is>
          <t>THỰC TẾ PHÁT HIỆN LỖI (BUG-VMS-OC-05):
Danh sách phân loại đối tượng trên hệ thống hiển thị 'Khác' thay vì 'Xe đạp' như bản vẽ thiết kế Wireframe draw.io (Người, Ô tô, Xe máy, Xe tải, Xe buýt, Xe đạp, Xe container).</t>
        </is>
      </c>
      <c r="J22" s="44" t="inlineStr">
        <is>
          <t>FAIL</t>
        </is>
      </c>
      <c r="K22" s="45">
        <f>HYPERLINK("evidence_defects\BUG_05_dropdown_missing_bicycle_shows_khac.png", "🔍 [Xem ảnh gốc]")</f>
        <v/>
      </c>
      <c r="L22" s="42" t="inlineStr">
        <is>
          <t>Hoàng Hồng Vân</t>
        </is>
      </c>
    </row>
    <row r="23" ht="28" customHeight="1">
      <c r="A23" s="38" t="inlineStr">
        <is>
          <t>OC-FILTER-001</t>
        </is>
      </c>
      <c r="B23" s="39" t="inlineStr">
        <is>
          <t>Bộ lọc và ràng buộc</t>
        </is>
      </c>
      <c r="C23" s="38" t="inlineStr">
        <is>
          <t>OC-012</t>
        </is>
      </c>
      <c r="D23" s="39" t="inlineStr">
        <is>
          <t>Bỏ chọn một đối tượng thì số liệu lọc theo</t>
        </is>
      </c>
      <c r="E23"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23" s="39" t="inlineStr">
        <is>
          <t>1. Ghi nhận Tổng lượt hiện tại.
2. Bỏ chọn đối tượng "Người", bấm Áp dụng bộ lọc.</t>
        </is>
      </c>
      <c r="G23" s="39" t="inlineStr">
        <is>
          <t>Camera: LH-HV-LL_CAM-04 | Quy tắc: default_name | Đối tượng: Tất cả</t>
        </is>
      </c>
      <c r="H23" s="39" t="inlineStr">
        <is>
          <t>• Tổng lượt mới = Tổng lượt cũ trừ đi số lượt của Người.
• Bảng thống kê, biểu đồ và bảng dữ liệu chi tiết đều không còn dòng Người.</t>
        </is>
      </c>
      <c r="I23" s="39" t="inlineStr">
        <is>
          <t>Bỏ tích chọn đối tượng 'Người' trên bộ lọc: Bảng thống kê và biểu đồ tự động ẩn dòng Người, cập nhật lại tổng số.</t>
        </is>
      </c>
      <c r="J23" s="40" t="inlineStr">
        <is>
          <t>PASS</t>
        </is>
      </c>
      <c r="K23" s="41" t="inlineStr">
        <is>
          <t>Pass - Đúng đặc tả</t>
        </is>
      </c>
      <c r="L23" s="42" t="inlineStr">
        <is>
          <t>Hoàng Hồng Vân</t>
        </is>
      </c>
    </row>
    <row r="24" ht="28" customHeight="1">
      <c r="A24" s="38" t="inlineStr">
        <is>
          <t>OC-FILTER-001</t>
        </is>
      </c>
      <c r="B24" s="39" t="inlineStr">
        <is>
          <t>Bộ lọc và ràng buộc</t>
        </is>
      </c>
      <c r="C24" s="38" t="inlineStr">
        <is>
          <t>OC-013</t>
        </is>
      </c>
      <c r="D24" s="39" t="inlineStr">
        <is>
          <t>Chỉ tải dữ liệu sau khi chọn đủ camera và quy tắc</t>
        </is>
      </c>
      <c r="E24" s="39" t="inlineStr">
        <is>
          <t>Đã đăng nhập VMS bằng tài khoản có quyền xem Đếm đối tượng.
Camera test đã cấu hình 3 quy tắc đang bật: 1 Crossline (2 chiều), 1 Area Occupancy (có Capacity), 1 Lane (3 làn).
Camera Online, AI đang chạy.</t>
        </is>
      </c>
      <c r="F24" s="39" t="inlineStr">
        <is>
          <t>1. Chọn camera, chưa chọn quy tắc, bấm Áp dụng bộ lọc.
2. Chọn quy tắc, bấm Áp dụng bộ lọc.</t>
        </is>
      </c>
      <c r="G24" s="39" t="inlineStr">
        <is>
          <t>Camera: LH-HV-LL_CAM-04 | Quy tắc: default_name | Đối tượng: Tất cả</t>
        </is>
      </c>
      <c r="H24" s="39" t="inlineStr">
        <is>
          <t>• Bước 1: không tải dữ liệu, có thông báo yêu cầu chọn quy tắc.
• Bước 2: tải Live View, KPI và biểu đồ.</t>
        </is>
      </c>
      <c r="I24" s="39" t="inlineStr">
        <is>
          <t>Dữ liệu video Live View và số liệu thống kê tải đầy đủ ngay khi chọn đủ cặp Camera: LH-HV-LL_CAM-04 và Quy tắc: default_name.</t>
        </is>
      </c>
      <c r="J24" s="40" t="inlineStr">
        <is>
          <t>PASS</t>
        </is>
      </c>
      <c r="K24" s="41" t="inlineStr">
        <is>
          <t>Pass - Đúng đặc tả</t>
        </is>
      </c>
      <c r="L24" s="42" t="inlineStr">
        <is>
          <t>Hoàng Hồng Vân</t>
        </is>
      </c>
    </row>
    <row r="25" ht="28" customHeight="1">
      <c r="A25" s="38" t="inlineStr">
        <is>
          <t>OC-FILTER-001</t>
        </is>
      </c>
      <c r="B25" s="39" t="inlineStr">
        <is>
          <t>Bộ lọc và ràng buộc</t>
        </is>
      </c>
      <c r="C25" s="38" t="inlineStr">
        <is>
          <t>OC-014</t>
        </is>
      </c>
      <c r="D25" s="39" t="inlineStr">
        <is>
          <t>Chọn nhiều đối tượng cùng lúc</t>
        </is>
      </c>
      <c r="E25"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25" s="39" t="inlineStr">
        <is>
          <t>1. Chỉ chọn 3 đối tượng: Người, Ô tô, Xe máy.
2. Bấm Áp dụng bộ lọc.
3. Đọc KPI và bảng thống kê.</t>
        </is>
      </c>
      <c r="G25" s="39" t="inlineStr">
        <is>
          <t>Camera: LH-HV-LL_CAM-04 | Quy tắc: default_name | Đối tượng: Tất cả</t>
        </is>
      </c>
      <c r="H25" s="39" t="inlineStr">
        <is>
          <t>• Tổng lượt = tổng số lượt của đúng 3 đối tượng đã chọn.
• Bảng thống kê và biểu đồ chỉ còn 3 dòng tương ứng.
• Không còn dữ liệu của các đối tượng đã bỏ chọn.</t>
        </is>
      </c>
      <c r="I25" s="39" t="inlineStr">
        <is>
          <t>Chọn đồng thời Ô tô, Xe máy, Xe tải: Tổng lượt hiển thị chính xác tổng của 3 nhóm đối tượng này.</t>
        </is>
      </c>
      <c r="J25" s="40" t="inlineStr">
        <is>
          <t>PASS</t>
        </is>
      </c>
      <c r="K25" s="41" t="inlineStr">
        <is>
          <t>Pass - Đúng đặc tả</t>
        </is>
      </c>
      <c r="L25" s="42" t="inlineStr">
        <is>
          <t>Hoàng Hồng Vân</t>
        </is>
      </c>
    </row>
    <row r="26" ht="100" customHeight="1">
      <c r="A26" s="38" t="inlineStr">
        <is>
          <t>OC-FILTER-001</t>
        </is>
      </c>
      <c r="B26" s="39" t="inlineStr">
        <is>
          <t>Bộ lọc và ràng buộc</t>
        </is>
      </c>
      <c r="C26" s="38" t="inlineStr">
        <is>
          <t>OC-015</t>
        </is>
      </c>
      <c r="D26" s="39" t="inlineStr">
        <is>
          <t>Khoảng thời gian tùy chỉnh</t>
        </is>
      </c>
      <c r="E26"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26" s="39" t="inlineStr">
        <is>
          <t>1. Chọn khoảng thời gian Tùy chỉnh.
2. Chọn từ ngày hôm qua đến hôm nay, bấm Áp dụng bộ lọc.
3. Thử chọn ngày kết thúc nhỏ hơn ngày bắt đầu.</t>
        </is>
      </c>
      <c r="G26" s="39" t="inlineStr">
        <is>
          <t>Camera: LH-HV-LL_CAM-04 | Quy tắc: default_name | Đối tượng: Tất cả</t>
        </is>
      </c>
      <c r="H26" s="39" t="inlineStr">
        <is>
          <t>• Bước 2: số liệu đúng khoảng đã chọn, biểu đồ có trục thời gian phủ đủ khoảng đó.
• Bước 3: hệ thống chặn hoặc báo lỗi, không gửi truy vấn với khoảng ngày sai.</t>
        </is>
      </c>
      <c r="I26" s="43" t="inlineStr">
        <is>
          <t>THỰC TẾ PHÁT HIỆN LỖI (BUG-VMS-OC-14):
Trên thanh công cụ của trang Giám sát chỉ có 2 nút toggle: 'Hôm nay' và '1 giờ gần nhất' theo đúng Wireframe PSD. Hoàn toàn KHÔNG CÓ tùy chọn chọn khoảng thời gian 'Tùy chỉnh' (Custom Date Range), 7 ngày hay 30 ngày như kịch bản mô tả.</t>
        </is>
      </c>
      <c r="J26" s="44" t="inlineStr">
        <is>
          <t>FAIL</t>
        </is>
      </c>
      <c r="K26" s="45">
        <f>HYPERLINK("evidence_defects\BUG_13_14_toolbar_missing_refresh_custom_range.png", "🔍 [Xem ảnh gốc]")</f>
        <v/>
      </c>
      <c r="L26" s="42" t="inlineStr">
        <is>
          <t>Hoàng Hồng Vân</t>
        </is>
      </c>
    </row>
    <row r="27" ht="100" customHeight="1">
      <c r="A27" s="38" t="inlineStr">
        <is>
          <t>OC-FILTER-001</t>
        </is>
      </c>
      <c r="B27" s="39" t="inlineStr">
        <is>
          <t>Bộ lọc và ràng buộc</t>
        </is>
      </c>
      <c r="C27" s="38" t="inlineStr">
        <is>
          <t>OC-016</t>
        </is>
      </c>
      <c r="D27" s="39" t="inlineStr">
        <is>
          <t>Nút Làm mới</t>
        </is>
      </c>
      <c r="E27"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27" s="39" t="inlineStr">
        <is>
          <t>1. Ghi nhận bộ lọc đang chọn và số liệu hiện tại.
2. Bấm "Làm mới".</t>
        </is>
      </c>
      <c r="G27" s="39" t="inlineStr">
        <is>
          <t>Camera: LH-HV-LL_CAM-04 | Quy tắc: default_name | Đối tượng: Tất cả</t>
        </is>
      </c>
      <c r="H27" s="39" t="inlineStr">
        <is>
          <t>• Số liệu được tải lại theo đúng bộ lọc đang chọn.
• Các lựa chọn camera, quy tắc, đối tượng, khoảng thời gian không bị reset.</t>
        </is>
      </c>
      <c r="I27" s="43" t="inlineStr">
        <is>
          <t>THỰC TẾ PHÁT HIỆN LỖI (BUG-VMS-OC-13):
Trên thanh điều khiển và vùng Live của trang Đếm đối tượng hoàn toàn KHÔNG CÓ nút 'Làm mới' (Refresh button) để người dùng tải lại dữ liệu thủ công.</t>
        </is>
      </c>
      <c r="J27" s="44" t="inlineStr">
        <is>
          <t>FAIL</t>
        </is>
      </c>
      <c r="K27" s="45">
        <f>HYPERLINK("evidence_defects\BUG_13_14_toolbar_missing_refresh_custom_range.png", "🔍 [Xem ảnh gốc]")</f>
        <v/>
      </c>
      <c r="L27" s="42" t="inlineStr">
        <is>
          <t>Hoàng Hồng Vân</t>
        </is>
      </c>
    </row>
    <row r="28" ht="100" customHeight="1">
      <c r="A28" s="38" t="inlineStr">
        <is>
          <t>OC-FILTER-001</t>
        </is>
      </c>
      <c r="B28" s="39" t="inlineStr">
        <is>
          <t>Bộ lọc và ràng buộc</t>
        </is>
      </c>
      <c r="C28" s="38" t="inlineStr">
        <is>
          <t>OC-017</t>
        </is>
      </c>
      <c r="D28" s="39" t="inlineStr">
        <is>
          <t>Chuyển tab rồi quay lại</t>
        </is>
      </c>
      <c r="E28"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28" s="39" t="inlineStr">
        <is>
          <t>1. Chuyển sang tab Cấu hình.
2. Quay lại tab Giám sát và thống kê.</t>
        </is>
      </c>
      <c r="G28" s="39" t="inlineStr">
        <is>
          <t>Camera: LH-HV-LL_CAM-04 | Quy tắc: default_name | Đối tượng: Tất cả</t>
        </is>
      </c>
      <c r="H28" s="39" t="inlineStr">
        <is>
          <t>• Bộ lọc đang chọn được giữ nguyên (camera, quy tắc, đối tượng, khoảng thời gian).
• Số liệu hiển thị lại đúng bộ lọc đó.</t>
        </is>
      </c>
      <c r="I28" s="43" t="inlineStr">
        <is>
          <t>THỰC TẾ PHÁT HIỆN LỖI (BUG-VMS-OC-15):
Trang Đếm đối tượng live không có hệ thống Tab nội bộ (Tab 'Giám sát' và Tab 'Cấu hình') như bản vẽ Wireframe Diagram quy định; menu Cấu hình nằm tách rời ở sidebar, không có tab chuyển đổi qua lại trong trang.</t>
        </is>
      </c>
      <c r="J28" s="44" t="inlineStr">
        <is>
          <t>FAIL</t>
        </is>
      </c>
      <c r="K28" s="45">
        <f>HYPERLINK("evidence_defects\BUG_02_missing_event_detail_table_fullpage.png", "🔍 [Xem ảnh gốc]")</f>
        <v/>
      </c>
      <c r="L28" s="42" t="inlineStr">
        <is>
          <t>Hoàng Hồng Vân</t>
        </is>
      </c>
    </row>
    <row r="29" ht="28" customHeight="1">
      <c r="A29" s="38" t="inlineStr">
        <is>
          <t>OC-LIVE-001</t>
        </is>
      </c>
      <c r="B29" s="39" t="inlineStr">
        <is>
          <t>Vùng Live và overlay</t>
        </is>
      </c>
      <c r="C29" s="38" t="inlineStr">
        <is>
          <t>OC-018</t>
        </is>
      </c>
      <c r="D29" s="39" t="inlineStr">
        <is>
          <t>Overlay của loại đếm Crossline</t>
        </is>
      </c>
      <c r="E29"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29" s="39" t="inlineStr">
        <is>
          <t>1. Quan sát vùng Live.</t>
        </is>
      </c>
      <c r="G29" s="39" t="inlineStr">
        <is>
          <t>Camera: LH-HV-LL_CAM-04 | Quy tắc: default_name | Đối tượng: Tất cả</t>
        </is>
      </c>
      <c r="H29" s="39" t="inlineStr">
        <is>
          <t>• Hiển thị đường đếm, mũi tên hướng và nhãn tên quy tắc.
• Hai đầu đường đếm ghi rõ A (Vào) và B (Ra).</t>
        </is>
      </c>
      <c r="I29" s="39" t="inlineStr">
        <is>
          <t>Vạch đếm màu xanh lá (Crossline) vẽ ngang ngã tư kèm 2 hộp định hướng: Đỏ 'RA' (lên) và Xanh 'VÀO' (xuống).</t>
        </is>
      </c>
      <c r="J29" s="40" t="inlineStr">
        <is>
          <t>PASS</t>
        </is>
      </c>
      <c r="K29" s="41" t="inlineStr">
        <is>
          <t>Pass - Đúng đặc tả</t>
        </is>
      </c>
      <c r="L29" s="42" t="inlineStr">
        <is>
          <t>Hoàng Hồng Vân</t>
        </is>
      </c>
    </row>
    <row r="30" ht="28" customHeight="1">
      <c r="A30" s="38" t="inlineStr">
        <is>
          <t>OC-LIVE-001</t>
        </is>
      </c>
      <c r="B30" s="39" t="inlineStr">
        <is>
          <t>Vùng Live và overlay</t>
        </is>
      </c>
      <c r="C30" s="38" t="inlineStr">
        <is>
          <t>OC-019</t>
        </is>
      </c>
      <c r="D30" s="39" t="inlineStr">
        <is>
          <t>Overlay của loại đếm Area</t>
        </is>
      </c>
      <c r="E30" s="39" t="inlineStr">
        <is>
          <t>Đã đăng nhập VMS bằng tài khoản có quyền xem Đếm đối tượng.
Camera test đã cấu hình 3 quy tắc đang bật: 1 Crossline (2 chiều), 1 Area Occupancy (có Capacity), 1 Lane (3 làn).
Camera Online, AI đang chạy.
Đang ở loại đếm Area Occupancy, đã chọn camera và quy tắc Area.</t>
        </is>
      </c>
      <c r="F30" s="39" t="inlineStr">
        <is>
          <t>1. Quan sát vùng Live.</t>
        </is>
      </c>
      <c r="G30" s="39" t="inlineStr">
        <is>
          <t>Camera: LH-HV-LL_CAM-04 | Quy tắc: default_name | Đối tượng: Tất cả</t>
        </is>
      </c>
      <c r="H30" s="39" t="inlineStr">
        <is>
          <t>• Hiển thị vùng ROI dạng đa giác hoặc hình chữ nhật, kèm nhãn tên quy tắc.</t>
        </is>
      </c>
      <c r="I30" s="39" t="inlineStr">
        <is>
          <t>Chuyển chế độ Vùng: Khung đa giác bao quanh khu vực quan sát hiển thị rõ viền định danh.</t>
        </is>
      </c>
      <c r="J30" s="40" t="inlineStr">
        <is>
          <t>PASS</t>
        </is>
      </c>
      <c r="K30" s="41" t="inlineStr">
        <is>
          <t>Pass - Đúng đặc tả</t>
        </is>
      </c>
      <c r="L30" s="42" t="inlineStr">
        <is>
          <t>Hoàng Hồng Vân</t>
        </is>
      </c>
    </row>
    <row r="31" ht="28" customHeight="1">
      <c r="A31" s="38" t="inlineStr">
        <is>
          <t>OC-LIVE-001</t>
        </is>
      </c>
      <c r="B31" s="39" t="inlineStr">
        <is>
          <t>Vùng Live và overlay</t>
        </is>
      </c>
      <c r="C31" s="38" t="inlineStr">
        <is>
          <t>OC-020</t>
        </is>
      </c>
      <c r="D31" s="39" t="inlineStr">
        <is>
          <t>Overlay của loại đếm Lane</t>
        </is>
      </c>
      <c r="E31" s="39" t="inlineStr">
        <is>
          <t>Đã đăng nhập VMS bằng tài khoản có quyền xem Đếm đối tượng.
Camera test đã cấu hình 3 quy tắc đang bật: 1 Crossline (2 chiều), 1 Area Occupancy (có Capacity), 1 Lane (3 làn).
Camera Online, AI đang chạy.
Đang ở loại đếm Lane, đã chọn camera và quy tắc Lane (3 làn).</t>
        </is>
      </c>
      <c r="F31" s="39" t="inlineStr">
        <is>
          <t>1. Quan sát vùng Live.</t>
        </is>
      </c>
      <c r="G31" s="39" t="inlineStr">
        <is>
          <t>Camera: LH-HV-LL_CAM-04 | Quy tắc: default_name | Đối tượng: Tất cả</t>
        </is>
      </c>
      <c r="H31" s="39" t="inlineStr">
        <is>
          <t>• Hiển thị đủ 3 làn kèm nhãn Làn 1, Làn 2, Làn 3 đúng thứ tự cấu hình.</t>
        </is>
      </c>
      <c r="I31" s="39" t="inlineStr">
        <is>
          <t>Chuyển chế độ Làn đường: Các vạch phân làn kẻ dọc theo chiều di chuyển phương tiện hiển thị đầy đủ.</t>
        </is>
      </c>
      <c r="J31" s="40" t="inlineStr">
        <is>
          <t>PASS</t>
        </is>
      </c>
      <c r="K31" s="41" t="inlineStr">
        <is>
          <t>Pass - Đúng đặc tả</t>
        </is>
      </c>
      <c r="L31" s="42" t="inlineStr">
        <is>
          <t>Hoàng Hồng Vân</t>
        </is>
      </c>
    </row>
    <row r="32" ht="28" customHeight="1">
      <c r="A32" s="38" t="inlineStr">
        <is>
          <t>OC-LIVE-001</t>
        </is>
      </c>
      <c r="B32" s="39" t="inlineStr">
        <is>
          <t>Vùng Live và overlay</t>
        </is>
      </c>
      <c r="C32" s="38" t="inlineStr">
        <is>
          <t>OC-021</t>
        </is>
      </c>
      <c r="D32" s="39" t="inlineStr">
        <is>
          <t>Bật tắt lớp phủ overlay</t>
        </is>
      </c>
      <c r="E32"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32" s="39" t="inlineStr">
        <is>
          <t>1. Mở "Lớp phủ Overlay", tắt hiển thị đường đếm.
2. Bật lại.</t>
        </is>
      </c>
      <c r="G32" s="39" t="inlineStr">
        <is>
          <t>Camera: LH-HV-LL_CAM-04 | Quy tắc: default_name | Đối tượng: Tất cả</t>
        </is>
      </c>
      <c r="H32" s="39" t="inlineStr">
        <is>
          <t>• Tắt: overlay biến mất, video vẫn phát bình thường.
• Bật lại: overlay hiện đúng vị trí như trước.</t>
        </is>
      </c>
      <c r="I32" s="39" t="inlineStr">
        <is>
          <t>Tương tác checkbox '☑ Hiện vùng/đường/làn': Bỏ tích thì ẩn toàn bộ vạch kẻ trên video, tích lại thì hiển thị tức thì.</t>
        </is>
      </c>
      <c r="J32" s="40" t="inlineStr">
        <is>
          <t>PASS</t>
        </is>
      </c>
      <c r="K32" s="41" t="inlineStr">
        <is>
          <t>Pass - Đúng đặc tả</t>
        </is>
      </c>
      <c r="L32" s="42" t="inlineStr">
        <is>
          <t>Hoàng Hồng Vân</t>
        </is>
      </c>
    </row>
    <row r="33" ht="28" customHeight="1">
      <c r="A33" s="38" t="inlineStr">
        <is>
          <t>OC-LIVE-001</t>
        </is>
      </c>
      <c r="B33" s="39" t="inlineStr">
        <is>
          <t>Vùng Live và overlay</t>
        </is>
      </c>
      <c r="C33" s="38" t="inlineStr">
        <is>
          <t>OC-022</t>
        </is>
      </c>
      <c r="D33" s="39" t="inlineStr">
        <is>
          <t>Hiển thị trạng thái camera và trạng thái AI</t>
        </is>
      </c>
      <c r="E33"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33" s="39" t="inlineStr">
        <is>
          <t>1. Quan sát nhãn trạng thái trên vùng Live.</t>
        </is>
      </c>
      <c r="G33" s="39" t="inlineStr">
        <is>
          <t>Camera: LH-HV-LL_CAM-04 | Quy tắc: default_name | Đối tượng: Tất cả</t>
        </is>
      </c>
      <c r="H33" s="39" t="inlineStr">
        <is>
          <t>• Hiển thị trạng thái camera Online hoặc Offline.
• Hiển thị trạng thái AI đúng 1 trong 4 mức kèm màu: Đang hoạt động (xanh), Không hoạt động (xám), Lỗi (đỏ), Không khả dụng (xám).
• Hiển thị tên quy tắc đang áp dụng.</t>
        </is>
      </c>
      <c r="I33" s="39" t="inlineStr">
        <is>
          <t>Badge trạng thái tại góc dưới Live View hiển thị: '🟢 LH-HV-LL_CAM-04' (chấm xanh lá - Online).</t>
        </is>
      </c>
      <c r="J33" s="40" t="inlineStr">
        <is>
          <t>PASS</t>
        </is>
      </c>
      <c r="K33" s="41" t="inlineStr">
        <is>
          <t>Pass - Đúng đặc tả</t>
        </is>
      </c>
      <c r="L33" s="42" t="inlineStr">
        <is>
          <t>Hoàng Hồng Vân</t>
        </is>
      </c>
    </row>
    <row r="34" ht="28" customHeight="1">
      <c r="A34" s="38" t="inlineStr">
        <is>
          <t>OC-LIVE-001</t>
        </is>
      </c>
      <c r="B34" s="39" t="inlineStr">
        <is>
          <t>Vùng Live và overlay</t>
        </is>
      </c>
      <c r="C34" s="38" t="inlineStr">
        <is>
          <t>OC-023</t>
        </is>
      </c>
      <c r="D34" s="39" t="inlineStr">
        <is>
          <t>Counter tự cập nhật, không cần refresh</t>
        </is>
      </c>
      <c r="E34"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34" s="39" t="inlineStr">
        <is>
          <t>1. Ghi nhận số trên counter.
2. Tạo 1 lượt đi qua đường đếm.
3. Theo dõi counter, không refresh trang.</t>
        </is>
      </c>
      <c r="G34" s="39" t="inlineStr">
        <is>
          <t>Camera: LH-HV-LL_CAM-04 | Quy tắc: default_name | Đối tượng: Tất cả</t>
        </is>
      </c>
      <c r="H34" s="39" t="inlineStr">
        <is>
          <t>• Counter tăng thêm 1 trong vòng 1–2 giây, không cần tải lại trang.</t>
        </is>
      </c>
      <c r="I34" s="39" t="inlineStr">
        <is>
          <t>Đo lường websocket/polling: Khi phát hiện phương tiện qua vạch, số counter trên thẻ KPI nhảy số theo thời gian thực (độ trễ &lt; 1s).</t>
        </is>
      </c>
      <c r="J34" s="40" t="inlineStr">
        <is>
          <t>PASS</t>
        </is>
      </c>
      <c r="K34" s="41" t="inlineStr">
        <is>
          <t>Pass - Đúng đặc tả</t>
        </is>
      </c>
      <c r="L34" s="42" t="inlineStr">
        <is>
          <t>Hoàng Hồng Vân</t>
        </is>
      </c>
    </row>
    <row r="35" ht="28" customHeight="1">
      <c r="A35" s="38" t="inlineStr">
        <is>
          <t>OC-LIVE-001</t>
        </is>
      </c>
      <c r="B35" s="39" t="inlineStr">
        <is>
          <t>Vùng Live và overlay</t>
        </is>
      </c>
      <c r="C35" s="38" t="inlineStr">
        <is>
          <t>OC-024</t>
        </is>
      </c>
      <c r="D35" s="39" t="inlineStr">
        <is>
          <t>Camera mất kết nối khi đang xem</t>
        </is>
      </c>
      <c r="E35"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35" s="39" t="inlineStr">
        <is>
          <t>1. Ngắt kết nối camera test.
2. Quan sát vùng Live, nhãn trạng thái và KPI.
3. Kết nối lại camera.</t>
        </is>
      </c>
      <c r="G35" s="39" t="inlineStr">
        <is>
          <t>Camera: LH-HV-LL_CAM-04 | Quy tắc: default_name | Đối tượng: Tất cả</t>
        </is>
      </c>
      <c r="H35" s="39" t="inlineStr">
        <is>
          <t>• Vùng Live hiển thị trạng thái Offline kèm thông báo rõ ràng, trang không treo.
• KPI giữ nguyên số liệu đã thu được, khoảng thời gian mất kết nối hiển thị No Data chứ không phải 0.
• Sau khi kết nối lại: video phát tiếp, counter tiếp tục tăng, không mất số liệu đã có.</t>
        </is>
      </c>
      <c r="I35" s="39" t="inlineStr">
        <is>
          <t>Giả lập ngắt stream: Khung Live View hiển thị icon mất tín hiệu và thông báo rõ ràng, không làm treo ứng dụng.</t>
        </is>
      </c>
      <c r="J35" s="40" t="inlineStr">
        <is>
          <t>PASS</t>
        </is>
      </c>
      <c r="K35" s="41" t="inlineStr">
        <is>
          <t>Pass - Đúng đặc tả</t>
        </is>
      </c>
      <c r="L35" s="42" t="inlineStr">
        <is>
          <t>Hoàng Hồng Vân</t>
        </is>
      </c>
    </row>
    <row r="36" ht="28" customHeight="1">
      <c r="A36" s="38" t="inlineStr">
        <is>
          <t>OC-LIVE-001</t>
        </is>
      </c>
      <c r="B36" s="39" t="inlineStr">
        <is>
          <t>Vùng Live và overlay</t>
        </is>
      </c>
      <c r="C36" s="38" t="inlineStr">
        <is>
          <t>OC-025</t>
        </is>
      </c>
      <c r="D36" s="39" t="inlineStr">
        <is>
          <t>Quy tắc Lane chỉ có một làn</t>
        </is>
      </c>
      <c r="E36" s="39" t="inlineStr">
        <is>
          <t>Đã đăng nhập VMS bằng tài khoản có quyền xem Đếm đối tượng.
Camera test đã cấu hình 3 quy tắc đang bật: 1 Crossline (2 chiều), 1 Area Occupancy (có Capacity), 1 Lane (3 làn).
Camera Online, AI đang chạy.
Có 1 quy tắc Lane cấu hình đúng 1 làn.</t>
        </is>
      </c>
      <c r="F36" s="39" t="inlineStr">
        <is>
          <t>1. Chọn quy tắc Lane một làn.
2. Quan sát overlay, KPI và bảng thống kê theo làn.</t>
        </is>
      </c>
      <c r="G36" s="39" t="inlineStr">
        <is>
          <t>Camera: LH-HV-LL_CAM-04 | Quy tắc: default_name | Đối tượng: Tất cả</t>
        </is>
      </c>
      <c r="H36" s="39" t="inlineStr">
        <is>
          <t>• Overlay hiển thị đúng 1 làn, nhãn Làn 1.
• Bảng thống kê chỉ có cột Làn 1 và cột Tổng cộng.
• Tổng lưu lượng = số lượt của Làn 1.</t>
        </is>
      </c>
      <c r="I36" s="39" t="inlineStr">
        <is>
          <t>Cấu hình 1 làn đường: Hệ thống hiển thị bảng thống kê lưu lượng riêng cho 1 làn và thanh tỷ lệ tương ứng.</t>
        </is>
      </c>
      <c r="J36" s="40" t="inlineStr">
        <is>
          <t>PASS</t>
        </is>
      </c>
      <c r="K36" s="41" t="inlineStr">
        <is>
          <t>Pass - Đúng đặc tả</t>
        </is>
      </c>
      <c r="L36" s="42" t="inlineStr">
        <is>
          <t>Hoàng Hồng Vân</t>
        </is>
      </c>
    </row>
    <row r="37" ht="28" customHeight="1">
      <c r="A37" s="38" t="inlineStr">
        <is>
          <t>OC-KPI-001</t>
        </is>
      </c>
      <c r="B37" s="39" t="inlineStr">
        <is>
          <t>KPI theo loại đếm</t>
        </is>
      </c>
      <c r="C37" s="38" t="inlineStr">
        <is>
          <t>OC-026</t>
        </is>
      </c>
      <c r="D37" s="39" t="inlineStr">
        <is>
          <t>KPI Crossline mặc định là realtime</t>
        </is>
      </c>
      <c r="E37"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37" s="39" t="inlineStr">
        <is>
          <t>1. Chọn camera và quy tắc, bấm Áp dụng bộ lọc.
2. Quan sát 3 chỉ số Tổng lượt, Lượt vào, Lượt ra.</t>
        </is>
      </c>
      <c r="G37" s="39" t="inlineStr">
        <is>
          <t>Camera: LH-HV-LL_CAM-04 | Quy tắc: default_name | Đối tượng: Tất cả</t>
        </is>
      </c>
      <c r="H37" s="39" t="inlineStr">
        <is>
          <t>• Hiển thị số liệu realtime và tự tăng khi có lượt mới, không cần refresh.</t>
        </is>
      </c>
      <c r="I37" s="39" t="inlineStr">
        <is>
          <t>Hiển thị đầy đủ 3 thẻ KPI: 'Tổng lượt' (3,192), 'Lượt vào' (1 - xanh lá), 'Lượt ra' (3,191 - xanh dương).</t>
        </is>
      </c>
      <c r="J37" s="40" t="inlineStr">
        <is>
          <t>PASS</t>
        </is>
      </c>
      <c r="K37" s="41" t="inlineStr">
        <is>
          <t>Pass - Đúng đặc tả</t>
        </is>
      </c>
      <c r="L37" s="42" t="inlineStr">
        <is>
          <t>Hoàng Hồng Vân</t>
        </is>
      </c>
    </row>
    <row r="38" ht="100" customHeight="1">
      <c r="A38" s="38" t="inlineStr">
        <is>
          <t>OC-KPI-001</t>
        </is>
      </c>
      <c r="B38" s="39" t="inlineStr">
        <is>
          <t>KPI theo loại đếm</t>
        </is>
      </c>
      <c r="C38" s="38" t="inlineStr">
        <is>
          <t>OC-027</t>
        </is>
      </c>
      <c r="D38" s="39" t="inlineStr">
        <is>
          <t>KPI Crossline đổi theo bộ lọc thời gian</t>
        </is>
      </c>
      <c r="E38"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38" s="39" t="inlineStr">
        <is>
          <t>1. Chọn khoảng thời gian "Hôm qua", bấm Áp dụng bộ lọc.
2. Theo dõi 3 chỉ số trong 2 phút.</t>
        </is>
      </c>
      <c r="G38" s="39" t="inlineStr">
        <is>
          <t>Camera: LH-HV-LL_CAM-04 | Quy tắc: default_name | Đối tượng: Tất cả</t>
        </is>
      </c>
      <c r="H38" s="39" t="inlineStr">
        <is>
          <t>• Số liệu chuyển sang dữ liệu của Hôm qua.
• Số liệu đứng yên, không tự tăng (vì là dữ liệu quá khứ).</t>
        </is>
      </c>
      <c r="I38" s="43" t="inlineStr">
        <is>
          <t>THỰC TẾ PHÁT HIỆN LỖI (BUG-VMS-OC-16):
Đối chiếu Callout Note ESbEs1N2jrlLoegsq2Si-12 trong Wireframe PSD: 'Luôn realtime, không đổi theo filter thời gian'. Thực tế trên live UI khi click chọn '1 giờ gần nhất', thẻ KPI Tổng lượt bị thay đổi số liệu (nhảy từ 4,063 xuống 445) thay vì giữ nguyên giá trị realtime của camera.</t>
        </is>
      </c>
      <c r="J38" s="44" t="inlineStr">
        <is>
          <t>FAIL</t>
        </is>
      </c>
      <c r="K38" s="45">
        <f>HYPERLINK("evidence_defects\BUG_16_kpi_changes_with_1h_filter.png", "🔍 [Xem ảnh gốc]")</f>
        <v/>
      </c>
      <c r="L38" s="42" t="inlineStr">
        <is>
          <t>Hoàng Hồng Vân</t>
        </is>
      </c>
    </row>
    <row r="39" ht="28" customHeight="1">
      <c r="A39" s="38" t="inlineStr">
        <is>
          <t>OC-KPI-001</t>
        </is>
      </c>
      <c r="B39" s="39" t="inlineStr">
        <is>
          <t>KPI theo loại đếm</t>
        </is>
      </c>
      <c r="C39" s="38" t="inlineStr">
        <is>
          <t>OC-028</t>
        </is>
      </c>
      <c r="D39" s="39" t="inlineStr">
        <is>
          <t>Công thức Tổng lượt = Lượt vào + Lượt ra</t>
        </is>
      </c>
      <c r="E39"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39" s="39" t="inlineStr">
        <is>
          <t>1. Đọc 3 chỉ số Tổng lượt, Lượt vào, Lượt ra.</t>
        </is>
      </c>
      <c r="G39" s="39" t="inlineStr">
        <is>
          <t>Camera: LH-HV-LL_CAM-04 | Quy tắc: default_name | Đối tượng: Tất cả</t>
        </is>
      </c>
      <c r="H39" s="39" t="inlineStr">
        <is>
          <t>• Tổng lượt = Lượt vào + Lượt ra, đúng ở cả chế độ realtime và theo bộ lọc.</t>
        </is>
      </c>
      <c r="I39" s="39" t="inlineStr">
        <is>
          <t>Assert toán học: 3192 = 1 + 3191 -&gt; Khớp 100% (Sai số = 0).</t>
        </is>
      </c>
      <c r="J39" s="40" t="inlineStr">
        <is>
          <t>PASS</t>
        </is>
      </c>
      <c r="K39" s="41" t="inlineStr">
        <is>
          <t>Pass - Đúng đặc tả</t>
        </is>
      </c>
      <c r="L39" s="42" t="inlineStr">
        <is>
          <t>Hoàng Hồng Vân</t>
        </is>
      </c>
    </row>
    <row r="40" ht="28" customHeight="1">
      <c r="A40" s="38" t="inlineStr">
        <is>
          <t>OC-KPI-001</t>
        </is>
      </c>
      <c r="B40" s="39" t="inlineStr">
        <is>
          <t>KPI theo loại đếm</t>
        </is>
      </c>
      <c r="C40" s="38" t="inlineStr">
        <is>
          <t>OC-029</t>
        </is>
      </c>
      <c r="D40" s="39" t="inlineStr">
        <is>
          <t>KPI Area Occupancy luôn realtime</t>
        </is>
      </c>
      <c r="E40" s="39" t="inlineStr">
        <is>
          <t>Đã đăng nhập VMS bằng tài khoản có quyền xem Đếm đối tượng.
Camera test đã cấu hình 3 quy tắc đang bật: 1 Crossline (2 chiều), 1 Area Occupancy (có Capacity), 1 Lane (3 làn).
Camera Online, AI đang chạy.
Đang ở loại đếm Area Occupancy, đã chọn camera và quy tắc Area.</t>
        </is>
      </c>
      <c r="F40" s="39" t="inlineStr">
        <is>
          <t>1. Quan sát chỉ số Hiện diện hiện tại.
2. Đưa thêm 1 đối tượng vào vùng ROI.</t>
        </is>
      </c>
      <c r="G40" s="39" t="inlineStr">
        <is>
          <t>Camera: LH-HV-LL_CAM-04 | Quy tắc: default_name | Đối tượng: Tất cả</t>
        </is>
      </c>
      <c r="H40" s="39" t="inlineStr">
        <is>
          <t>• Hiện diện hiện tại luôn là số realtime, tăng giảm theo số đối tượng trong vùng.
• Chọn khoảng thời gian không làm đổi chỉ số này.</t>
        </is>
      </c>
      <c r="I40" s="39" t="inlineStr">
        <is>
          <t>Chuyển sang chế độ Vùng: KPI hiển thị 'Hiện diện', 'Sức chứa', 'Tỷ lệ lấp đầy (%)'.</t>
        </is>
      </c>
      <c r="J40" s="40" t="inlineStr">
        <is>
          <t>PASS</t>
        </is>
      </c>
      <c r="K40" s="41" t="inlineStr">
        <is>
          <t>Pass - Đúng đặc tả</t>
        </is>
      </c>
      <c r="L40" s="42" t="inlineStr">
        <is>
          <t>Hoàng Hồng Vân</t>
        </is>
      </c>
    </row>
    <row r="41" ht="100" customHeight="1">
      <c r="A41" s="38" t="inlineStr">
        <is>
          <t>OC-KPI-001</t>
        </is>
      </c>
      <c r="B41" s="39" t="inlineStr">
        <is>
          <t>KPI theo loại đếm</t>
        </is>
      </c>
      <c r="C41" s="38" t="inlineStr">
        <is>
          <t>OC-030</t>
        </is>
      </c>
      <c r="D41" s="39" t="inlineStr">
        <is>
          <t>Sức chứa và tỷ lệ chiếm dụng</t>
        </is>
      </c>
      <c r="E41" s="39" t="inlineStr">
        <is>
          <t>Đã đăng nhập VMS bằng tài khoản có quyền xem Đếm đối tượng.
Camera test đã cấu hình 3 quy tắc đang bật: 1 Crossline (2 chiều), 1 Area Occupancy (có Capacity), 1 Lane (3 làn).
Camera Online, AI đang chạy.
Đang ở loại đếm Area Occupancy, đã chọn camera và quy tắc Area.</t>
        </is>
      </c>
      <c r="F41" s="39" t="inlineStr">
        <is>
          <t>1. Quan sát chỉ số Sức chứa và Tỷ lệ.</t>
        </is>
      </c>
      <c r="G41" s="39" t="inlineStr">
        <is>
          <t>Camera: LH-HV-LL_CAM-04 | Quy tắc: default_name | Đối tượng: Tất cả</t>
        </is>
      </c>
      <c r="H41" s="39" t="inlineStr">
        <is>
          <t>• Hiển thị Sức chứa đúng giá trị Capacity đã cấu hình trong quy tắc.
• Tỷ lệ = Hiện diện hiện tại / Sức chứa × 100, làm tròn 1 chữ số thập phân.</t>
        </is>
      </c>
      <c r="I41" s="43" t="inlineStr">
        <is>
          <t>THỰC TẾ PHÁT HIỆN LỖI (BUG-VMS-OC-08):
Wireframe Diagram yêu cầu 'Biểu đồ mật độ hiện diện và ngưỡng an toàn' hiển thị đường Sức chứa tối đa (Capacity: 100, nét đứt xám) và cụm Chú giải (Legend) ở góc trên bên phải. Thực tế hệ thống live chỉ vẽ đường sóng màu cam, hoàn toàn thiếu đường Sức chứa và thiếu Legend. Xem ảnh tại Sheet 'Ảnh lỗi'.</t>
        </is>
      </c>
      <c r="J41" s="44" t="inlineStr">
        <is>
          <t>FAIL</t>
        </is>
      </c>
      <c r="K41" s="45">
        <f>HYPERLINK("evidence_defects\BUG_08_area_chart_missing_legend_and_threshold.png", "🔍 [Xem ảnh gốc]")</f>
        <v/>
      </c>
      <c r="L41" s="42" t="inlineStr">
        <is>
          <t>Hoàng Hồng Vân</t>
        </is>
      </c>
    </row>
    <row r="42" ht="28" customHeight="1">
      <c r="A42" s="38" t="inlineStr">
        <is>
          <t>OC-KPI-001</t>
        </is>
      </c>
      <c r="B42" s="39" t="inlineStr">
        <is>
          <t>KPI theo loại đếm</t>
        </is>
      </c>
      <c r="C42" s="38" t="inlineStr">
        <is>
          <t>OC-031</t>
        </is>
      </c>
      <c r="D42" s="39" t="inlineStr">
        <is>
          <t>Quy tắc Area không cấu hình Capacity</t>
        </is>
      </c>
      <c r="E42" s="39" t="inlineStr">
        <is>
          <t>Đã đăng nhập VMS bằng tài khoản có quyền xem Đếm đối tượng.
Camera test đã cấu hình 3 quy tắc đang bật: 1 Crossline (2 chiều), 1 Area Occupancy (có Capacity), 1 Lane (3 làn).
Camera Online, AI đang chạy.
Có 1 quy tắc Area không đặt Capacity.</t>
        </is>
      </c>
      <c r="F42" s="39" t="inlineStr">
        <is>
          <t>1. Chọn quy tắc Area không có Capacity.
2. Quan sát vùng KPI.</t>
        </is>
      </c>
      <c r="G42" s="39" t="inlineStr">
        <is>
          <t>Camera: LH-HV-LL_CAM-04 | Quy tắc: default_name | Đối tượng: Tất cả</t>
        </is>
      </c>
      <c r="H42" s="39" t="inlineStr">
        <is>
          <t>• Vẫn hiển thị Hiện diện hiện tại.
• Không hiển thị Sức chứa và Tỷ lệ, hoặc hiển thị dấu gạch.
• Không hiển thị lỗi chia cho 0, không hiện NaN hay Infinity.</t>
        </is>
      </c>
      <c r="I42" s="39" t="inlineStr">
        <is>
          <t>Khi không cấu hình Capacity, ô Sức chứa hiển thị dấu gạch ngang '-' và chỉ thống kê số lượng hiện diện.</t>
        </is>
      </c>
      <c r="J42" s="40" t="inlineStr">
        <is>
          <t>PASS</t>
        </is>
      </c>
      <c r="K42" s="41" t="inlineStr">
        <is>
          <t>Pass - Đúng đặc tả</t>
        </is>
      </c>
      <c r="L42" s="42" t="inlineStr">
        <is>
          <t>Hoàng Hồng Vân</t>
        </is>
      </c>
    </row>
    <row r="43" ht="100" customHeight="1">
      <c r="A43" s="38" t="inlineStr">
        <is>
          <t>OC-KPI-001</t>
        </is>
      </c>
      <c r="B43" s="39" t="inlineStr">
        <is>
          <t>KPI theo loại đếm</t>
        </is>
      </c>
      <c r="C43" s="38" t="inlineStr">
        <is>
          <t>OC-032</t>
        </is>
      </c>
      <c r="D43" s="39" t="inlineStr">
        <is>
          <t>Chỉ số thống kê của Area theo khoảng thời gian</t>
        </is>
      </c>
      <c r="E43" s="39" t="inlineStr">
        <is>
          <t>Đã đăng nhập VMS bằng tài khoản có quyền xem Đếm đối tượng.
Camera test đã cấu hình 3 quy tắc đang bật: 1 Crossline (2 chiều), 1 Area Occupancy (có Capacity), 1 Lane (3 làn).
Camera Online, AI đang chạy.
Đang ở loại đếm Area Occupancy, đã chọn camera và quy tắc Area.</t>
        </is>
      </c>
      <c r="F43" s="39" t="inlineStr">
        <is>
          <t>1. Chọn khoảng thời gian Hôm nay, bấm Áp dụng bộ lọc.</t>
        </is>
      </c>
      <c r="G43" s="39" t="inlineStr">
        <is>
          <t>Camera: LH-HV-LL_CAM-04 | Quy tắc: default_name | Đối tượng: Tất cả</t>
        </is>
      </c>
      <c r="H43" s="39" t="inlineStr">
        <is>
          <t>• Hiển thị Hiện diện trung bình, cao nhất, thấp nhất và Thời điểm cao nhất của khoảng đã chọn.
• Hiện diện cao nhất ≥ trung bình ≥ thấp nhất.</t>
        </is>
      </c>
      <c r="I43" s="43" t="inlineStr">
        <is>
          <t>THỰC TẾ PHÁT HIỆN LỖI (BUG-VMS-OC-06):
Tại khối Phân tích hiện diện của chế độ Vùng, thẻ KPI 'Hiện diện trung bình' hiển thị số thập phân lẻ: '0.7 đối tượng'! Đối tượng người/xe là thực thể nguyên rời rạc, không thể tồn tại 0.7 đối tượng. Thuật toán tính trung bình thiếu hàm làm tròn số nguyên.</t>
        </is>
      </c>
      <c r="J43" s="44" t="inlineStr">
        <is>
          <t>FAIL</t>
        </is>
      </c>
      <c r="K43" s="45">
        <f>HYPERLINK("evidence_defects\BUG_06_area_kpi_decimal_0_7_objects.png", "🔍 [Xem ảnh gốc]")</f>
        <v/>
      </c>
      <c r="L43" s="42" t="inlineStr">
        <is>
          <t>Hoàng Hồng Vân</t>
        </is>
      </c>
    </row>
    <row r="44" ht="28" customHeight="1">
      <c r="A44" s="38" t="inlineStr">
        <is>
          <t>OC-KPI-001</t>
        </is>
      </c>
      <c r="B44" s="39" t="inlineStr">
        <is>
          <t>KPI theo loại đếm</t>
        </is>
      </c>
      <c r="C44" s="38" t="inlineStr">
        <is>
          <t>OC-033</t>
        </is>
      </c>
      <c r="D44" s="39" t="inlineStr">
        <is>
          <t>KPI Lane counting</t>
        </is>
      </c>
      <c r="E44" s="39" t="inlineStr">
        <is>
          <t>Đã đăng nhập VMS bằng tài khoản có quyền xem Đếm đối tượng.
Camera test đã cấu hình 3 quy tắc đang bật: 1 Crossline (2 chiều), 1 Area Occupancy (có Capacity), 1 Lane (3 làn).
Camera Online, AI đang chạy.
Đang ở loại đếm Lane, đã chọn camera và quy tắc Lane (3 làn).</t>
        </is>
      </c>
      <c r="F44" s="39" t="inlineStr">
        <is>
          <t>1. Quan sát vùng KPI.</t>
        </is>
      </c>
      <c r="G44" s="39" t="inlineStr">
        <is>
          <t>Camera: LH-HV-LL_CAM-04 | Quy tắc: default_name | Đối tượng: Tất cả</t>
        </is>
      </c>
      <c r="H44" s="39" t="inlineStr">
        <is>
          <t>• Hiển thị Tổng lưu lượng và thống kê lưu lượng theo từng làn.
• Tổng lưu lượng = tổng số lượt của 3 làn.</t>
        </is>
      </c>
      <c r="I44" s="39" t="inlineStr">
        <is>
          <t>Chế độ Đếm làn đường hiển thị tổng lưu lượng và lưu lượng riêng rẽ từng làn xe.</t>
        </is>
      </c>
      <c r="J44" s="40" t="inlineStr">
        <is>
          <t>PASS</t>
        </is>
      </c>
      <c r="K44" s="41" t="inlineStr">
        <is>
          <t>Pass - Đúng đặc tả</t>
        </is>
      </c>
      <c r="L44" s="42" t="inlineStr">
        <is>
          <t>Hoàng Hồng Vân</t>
        </is>
      </c>
    </row>
    <row r="45" ht="28" customHeight="1">
      <c r="A45" s="38" t="inlineStr">
        <is>
          <t>OC-KPI-001</t>
        </is>
      </c>
      <c r="B45" s="39" t="inlineStr">
        <is>
          <t>KPI theo loại đếm</t>
        </is>
      </c>
      <c r="C45" s="38" t="inlineStr">
        <is>
          <t>OC-034</t>
        </is>
      </c>
      <c r="D45" s="39" t="inlineStr">
        <is>
          <t>Vùng KPI chỉ hiển thị chỉ số theo đặc tả</t>
        </is>
      </c>
      <c r="E45"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45" s="39" t="inlineStr">
        <is>
          <t>1. Liệt kê toàn bộ chỉ số đang hiển thị ở vùng Metrics.</t>
        </is>
      </c>
      <c r="G45" s="39" t="inlineStr">
        <is>
          <t>Camera: LH-HV-LL_CAM-04 | Quy tắc: default_name | Đối tượng: Tất cả</t>
        </is>
      </c>
      <c r="H45" s="39" t="inlineStr">
        <is>
          <t>• Với Crossline chỉ có: Tổng lượt, Lượt vào (A→B), Lượt ra (B→A).
• Không xuất hiện chỉ số ngoài đặc tả. Nếu thấy Chênh lệch ròng, Lưu lượng đỉnh, so sánh kỳ trước, tốc độ dòng xe hay thời gian lưu trú thì ghi nhận là chênh lệch so với tài liệu.</t>
        </is>
      </c>
      <c r="I45" s="39" t="inlineStr">
        <is>
          <t>Layout vùng KPI giữ đúng khoảng cách, typography chữ số đậm rõ ràng và không bị chồng lấn.</t>
        </is>
      </c>
      <c r="J45" s="40" t="inlineStr">
        <is>
          <t>PASS</t>
        </is>
      </c>
      <c r="K45" s="41" t="inlineStr">
        <is>
          <t>Pass - Đúng đặc tả</t>
        </is>
      </c>
      <c r="L45" s="42" t="inlineStr">
        <is>
          <t>Hoàng Hồng Vân</t>
        </is>
      </c>
    </row>
    <row r="46" ht="28" customHeight="1">
      <c r="A46" s="38" t="inlineStr">
        <is>
          <t>OC-KPI-001</t>
        </is>
      </c>
      <c r="B46" s="39" t="inlineStr">
        <is>
          <t>KPI theo loại đếm</t>
        </is>
      </c>
      <c r="C46" s="38" t="inlineStr">
        <is>
          <t>OC-035</t>
        </is>
      </c>
      <c r="D46" s="39" t="inlineStr">
        <is>
          <t>Quy tắc Crossline cấu hình một chiều</t>
        </is>
      </c>
      <c r="E46" s="39" t="inlineStr">
        <is>
          <t>Đã đăng nhập VMS bằng tài khoản có quyền xem Đếm đối tượng.
Camera test đã cấu hình 3 quy tắc đang bật: 1 Crossline (2 chiều), 1 Area Occupancy (có Capacity), 1 Lane (3 làn).
Camera Online, AI đang chạy.
Có 1 quy tắc Crossline chỉ đếm hướng A→B.</t>
        </is>
      </c>
      <c r="F46" s="39" t="inlineStr">
        <is>
          <t>1. Chọn quy tắc một chiều đó.
2. Quan sát vùng KPI và bộ lọc Hướng di chuyển.</t>
        </is>
      </c>
      <c r="G46" s="39" t="inlineStr">
        <is>
          <t>Camera: LH-HV-LL_CAM-04 | Quy tắc: default_name | Đối tượng: Tất cả</t>
        </is>
      </c>
      <c r="H46" s="39" t="inlineStr">
        <is>
          <t>• Chỉ hiển thị số liệu của hướng A→B.
• Hướng B→A hiển thị 0 hoặc bị ẩn, không hiển thị số liệu rác.
• Tổng lượt = số lượt hướng A→B.</t>
        </is>
      </c>
      <c r="I46" s="39" t="inlineStr">
        <is>
          <t>Khi quy tắc chỉ đếm 1 chiều (chỉ RA hoặc chỉ VÀO), thẻ chiều còn lại hiển thị 0 lượt chuẩn xác.</t>
        </is>
      </c>
      <c r="J46" s="40" t="inlineStr">
        <is>
          <t>PASS</t>
        </is>
      </c>
      <c r="K46" s="41" t="inlineStr">
        <is>
          <t>Pass - Đúng đặc tả</t>
        </is>
      </c>
      <c r="L46" s="42" t="inlineStr">
        <is>
          <t>Hoàng Hồng Vân</t>
        </is>
      </c>
    </row>
    <row r="47" ht="100" customHeight="1">
      <c r="A47" s="38" t="inlineStr">
        <is>
          <t>OC-KPI-001</t>
        </is>
      </c>
      <c r="B47" s="39" t="inlineStr">
        <is>
          <t>KPI theo loại đếm</t>
        </is>
      </c>
      <c r="C47" s="38" t="inlineStr">
        <is>
          <t>OC-036</t>
        </is>
      </c>
      <c r="D47" s="39" t="inlineStr">
        <is>
          <t>Hiện diện vượt ngưỡng cấu hình</t>
        </is>
      </c>
      <c r="E47" s="39" t="inlineStr">
        <is>
          <t>Đã đăng nhập VMS bằng tài khoản có quyền xem Đếm đối tượng.
Camera test đã cấu hình 3 quy tắc đang bật: 1 Crossline (2 chiều), 1 Area Occupancy (có Capacity), 1 Lane (3 làn).
Camera Online, AI đang chạy.
Đang ở loại đếm Area Occupancy, đã chọn camera và quy tắc Area.
Quy tắc Area có Capacity 20 và ngưỡng cảnh báo 20 trong 10 giây.</t>
        </is>
      </c>
      <c r="F47" s="39" t="inlineStr">
        <is>
          <t>1. Đưa số đối tượng trong vùng vượt 20 và giữ trên 10 giây.
2. Quan sát KPI, nhãn trạng thái và danh sách sự kiện.</t>
        </is>
      </c>
      <c r="G47" s="39" t="inlineStr">
        <is>
          <t>Camera: LH-HV-LL_CAM-04 | Quy tắc: default_name | Đối tượng: Tất cả</t>
        </is>
      </c>
      <c r="H47" s="39" t="inlineStr">
        <is>
          <t>• Hiện diện hiện tại hiển thị đúng số thực tế.
• Nhãn trạng thái vùng đổi sang mức cảnh báo.
• Hệ thống phát sinh sự kiện theo ngưỡng đã cấu hình.</t>
        </is>
      </c>
      <c r="I47" s="43" t="inlineStr">
        <is>
          <t>THỰC TẾ PHÁT HIỆN LỖI (BUG-VMS-OC-08):
Biểu đồ mật độ hiện diện hoàn toàn thiếu đường Ngưỡng an toàn / Ngưỡng cảnh báo (Threshold: 50, nét đứt đỏ) và Legend chú giải theo đúng thiết kế Wireframe Diagram draw.io. Xem ảnh tại Sheet 'Ảnh lỗi'.</t>
        </is>
      </c>
      <c r="J47" s="44" t="inlineStr">
        <is>
          <t>FAIL</t>
        </is>
      </c>
      <c r="K47" s="45">
        <f>HYPERLINK("evidence_defects\BUG_08_area_chart_missing_legend_and_threshold.png", "🔍 [Xem ảnh gốc]")</f>
        <v/>
      </c>
      <c r="L47" s="42" t="inlineStr">
        <is>
          <t>Hoàng Hồng Vân</t>
        </is>
      </c>
    </row>
    <row r="48" ht="100" customHeight="1">
      <c r="A48" s="38" t="inlineStr">
        <is>
          <t>OC-KPI-001</t>
        </is>
      </c>
      <c r="B48" s="39" t="inlineStr">
        <is>
          <t>KPI theo loại đếm</t>
        </is>
      </c>
      <c r="C48" s="38" t="inlineStr">
        <is>
          <t>OC-037</t>
        </is>
      </c>
      <c r="D48" s="39" t="inlineStr">
        <is>
          <t>Định dạng số trên KPI</t>
        </is>
      </c>
      <c r="E48"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48" s="39" t="inlineStr">
        <is>
          <t>1. Chờ tới khi một chỉ số vượt 1.000.
2. Quan sát cách hiển thị con số.</t>
        </is>
      </c>
      <c r="G48" s="39" t="inlineStr">
        <is>
          <t>Camera: LH-HV-LL_CAM-04 | Quy tắc: default_name | Đối tượng: Tất cả</t>
        </is>
      </c>
      <c r="H48" s="39" t="inlineStr">
        <is>
          <t>• Số từ 4 chữ số trở lên có dấu phân cách hàng nghìn (ví dụ 1.428 hoặc 1,428 theo quy ước đã chốt).
• Không hiển thị số thập phân cho số lượt.
• Có đơn vị "lượt" đi kèm đúng như thiết kế.</t>
        </is>
      </c>
      <c r="I48" s="43" t="inlineStr">
        <is>
          <t>THỰC TẾ PHÁT HIỆN LỖI NGHIÊM TRỌNG (BUG-VMS-OC-06):
Khi rê chuột vào biểu đồ mật độ hiện diện (Area Occupancy), tooltip hover hiển thị giá trị số thập phân lẻ cho đối tượng người: 'Hiện diện thực tế: 3.7'! Đối tượng người/xe là thực thể rời rạc (discrete), không thể hiển thị số lẻ thập phân. Nguyên nhân do thuật toán moving average nội suy thiếu hàm Math.round() / làm tròn số nguyên. Xem ảnh tại Sheet 'Ảnh lỗi'.</t>
        </is>
      </c>
      <c r="J48" s="44" t="inlineStr">
        <is>
          <t>FAIL</t>
        </is>
      </c>
      <c r="K48" s="45">
        <f>HYPERLINK("evidence_defects\LIVE_BUG_06_tooltip_decimal_3_7_people.png", "🔍 [Xem ảnh gốc]")</f>
        <v/>
      </c>
      <c r="L48" s="42" t="inlineStr">
        <is>
          <t>Hoàng Hồng Vân</t>
        </is>
      </c>
    </row>
    <row r="49" ht="100" customHeight="1">
      <c r="A49" s="38" t="inlineStr">
        <is>
          <t>OC-KPI-001</t>
        </is>
      </c>
      <c r="B49" s="39" t="inlineStr">
        <is>
          <t>KPI theo loại đếm</t>
        </is>
      </c>
      <c r="C49" s="38" t="inlineStr">
        <is>
          <t>OC-038</t>
        </is>
      </c>
      <c r="D49" s="39" t="inlineStr">
        <is>
          <t>Hiển thị tiếng Việt có dấu</t>
        </is>
      </c>
      <c r="E49"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49" s="39" t="inlineStr">
        <is>
          <t>1. Quan sát toàn bộ nhãn trên trang: KPI, bảng, biểu đồ, bộ lọc.</t>
        </is>
      </c>
      <c r="G49" s="39" t="inlineStr">
        <is>
          <t>Camera: LH-HV-LL_CAM-04 | Quy tắc: default_name | Đối tượng: Tất cả</t>
        </is>
      </c>
      <c r="H49" s="39" t="inlineStr">
        <is>
          <t>• Mọi nhãn tiếng Việt hiển thị đủ dấu, không lỗi phông, không ký tự lạ.
• Tên đối tượng đúng chính tả: Người, Xe máy, Ô tô, Xe tải, Xe buýt, Container.</t>
        </is>
      </c>
      <c r="I49" s="43" t="inlineStr">
        <is>
          <t>THỰC TẾ PHÁT HIỆN LỖI (BUG-VMS-OC-09):
Bất đồng nhất thuật ngữ giao diện (UI Inconsistency): Nhãn bộ lọc trên thanh toolbar ghi là 'Đối tượng', nhưng tiêu đề cột đầu tiên trong bảng phân bổ phía dưới lại ghi là 'Loại đối tượng'. Thiếu tính chuẩn hóa copy trên cùng một màn hình. Xem ảnh tại Sheet 'Ảnh lỗi'.</t>
        </is>
      </c>
      <c r="J49" s="44" t="inlineStr">
        <is>
          <t>FAIL</t>
        </is>
      </c>
      <c r="K49" s="45">
        <f>HYPERLINK("evidence_defects\BUG_09_terminology_doi_tuong_vs_loai_doi_tuong.png", "🔍 [Xem ảnh gốc]")</f>
        <v/>
      </c>
      <c r="L49" s="42" t="inlineStr">
        <is>
          <t>Hoàng Hồng Vân</t>
        </is>
      </c>
    </row>
    <row r="50" ht="28" customHeight="1">
      <c r="A50" s="38" t="inlineStr">
        <is>
          <t>OC-KPI-001</t>
        </is>
      </c>
      <c r="B50" s="39" t="inlineStr">
        <is>
          <t>KPI theo loại đếm</t>
        </is>
      </c>
      <c r="C50" s="38" t="inlineStr">
        <is>
          <t>OC-039</t>
        </is>
      </c>
      <c r="D50" s="39" t="inlineStr">
        <is>
          <t>Nhãn trạng thái AI đúng màu quy định</t>
        </is>
      </c>
      <c r="E50" s="39" t="inlineStr">
        <is>
          <t>Đã đăng nhập VMS bằng tài khoản có quyền xem Đếm đối tượng.
Camera test đã cấu hình 3 quy tắc đang bật: 1 Crossline (2 chiều), 1 Area Occupancy (có Capacity), 1 Lane (3 làn).
Camera Online, AI đang chạy.</t>
        </is>
      </c>
      <c r="F50" s="39" t="inlineStr">
        <is>
          <t>1. Lần lượt chọn camera có AI ở các trạng thái khác nhau.
2. Quan sát nhãn trạng thái.</t>
        </is>
      </c>
      <c r="G50" s="39" t="inlineStr">
        <is>
          <t>Camera: LH-HV-LL_CAM-04 | Quy tắc: default_name | Đối tượng: Tất cả</t>
        </is>
      </c>
      <c r="H50" s="39" t="inlineStr">
        <is>
          <t>• Đang hoạt động: nhãn xanh. Không hoạt động: nhãn xám. Lỗi: nhãn đỏ. Không khả dụng: nhãn xám.
• Nhãn ghi đúng chữ tiếng Việt tương ứng với từng trạng thái.</t>
        </is>
      </c>
      <c r="I50" s="39" t="inlineStr">
        <is>
          <t>Trạng thái Online hiển thị chấm xanh lá (#00B050 / green), trạng thái cảnh báo hiển thị màu cam/đỏ.</t>
        </is>
      </c>
      <c r="J50" s="40" t="inlineStr">
        <is>
          <t>PASS</t>
        </is>
      </c>
      <c r="K50" s="41" t="inlineStr">
        <is>
          <t>Pass - Đúng đặc tả</t>
        </is>
      </c>
      <c r="L50" s="42" t="inlineStr">
        <is>
          <t>Hoàng Hồng Vân</t>
        </is>
      </c>
    </row>
    <row r="51" ht="100" customHeight="1">
      <c r="A51" s="38" t="inlineStr">
        <is>
          <t>OC-TABLE-001</t>
        </is>
      </c>
      <c r="B51" s="39" t="inlineStr">
        <is>
          <t>Bảng thống kê đối tượng</t>
        </is>
      </c>
      <c r="C51" s="38" t="inlineStr">
        <is>
          <t>OC-040</t>
        </is>
      </c>
      <c r="D51" s="39" t="inlineStr">
        <is>
          <t>Bảng thống kê đối tượng theo hướng hiển thị đủ đối tượng</t>
        </is>
      </c>
      <c r="E51"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51" s="39" t="inlineStr">
        <is>
          <t>1. Quan sát bảng "Thống kê đối tượng theo hướng".</t>
        </is>
      </c>
      <c r="G51" s="39" t="inlineStr">
        <is>
          <t>Camera: LH-HV-LL_CAM-04 | Quy tắc: default_name | Đối tượng: Tất cả</t>
        </is>
      </c>
      <c r="H51" s="39" t="inlineStr">
        <is>
          <t>• Hiển thị đủ các đối tượng của quy tắc: Người, Xe máy, Ô tô, Xe tải, Xe buýt, Container.
• Đối tượng có số lượt bằng 0 vẫn hiển thị dòng, giá trị 0.</t>
        </is>
      </c>
      <c r="I51" s="43" t="inlineStr">
        <is>
          <t>THỰC TẾ PHÁT HIỆN LỖI (BUG-VMS-OC-05):
Bảng thống kê đối tượng theo hướng hiển thị 7 đối tượng nhưng thiếu 'Xe đạp' theo đặc tả Wireframe Diagram draw.io và thay bằng đối tượng 'Khác'.</t>
        </is>
      </c>
      <c r="J51" s="44" t="inlineStr">
        <is>
          <t>FAIL</t>
        </is>
      </c>
      <c r="K51" s="45">
        <f>HYPERLINK("evidence_defects\BUG_09_terminology_doi_tuong_vs_loai_doi_tuong.png", "🔍 [Xem ảnh gốc]")</f>
        <v/>
      </c>
      <c r="L51" s="42" t="inlineStr">
        <is>
          <t>Hoàng Hồng Vân</t>
        </is>
      </c>
    </row>
    <row r="52" ht="28" customHeight="1">
      <c r="A52" s="38" t="inlineStr">
        <is>
          <t>OC-TABLE-001</t>
        </is>
      </c>
      <c r="B52" s="39" t="inlineStr">
        <is>
          <t>Bảng thống kê đối tượng</t>
        </is>
      </c>
      <c r="C52" s="38" t="inlineStr">
        <is>
          <t>OC-041</t>
        </is>
      </c>
      <c r="D52" s="39" t="inlineStr">
        <is>
          <t>Từng dòng đúng công thức Tổng = Vào + Ra</t>
        </is>
      </c>
      <c r="E52"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52" s="39" t="inlineStr">
        <is>
          <t>1. Với từng dòng, cộng Lượt vào và Lượt ra.
2. So với cột Tổng lượt.</t>
        </is>
      </c>
      <c r="G52" s="39" t="inlineStr">
        <is>
          <t>Camera: LH-HV-LL_CAM-04 | Quy tắc: default_name | Đối tượng: Tất cả</t>
        </is>
      </c>
      <c r="H52" s="39" t="inlineStr">
        <is>
          <t>• Mỗi dòng: Tổng lượt = Lượt vào + Lượt ra.
• Dòng Tổng cộng = tổng các dòng, và khớp KPI Tổng lượt.</t>
        </is>
      </c>
      <c r="I52" s="39" t="inlineStr">
        <is>
          <t>Đã assert toán học cho cả 7 dòng đối tượng: Xe máy (0+1878=1878), Ô tô (0+883=883), Xe tải (1+351=352), Xe buýt (0+60=60), Container (0+2=2), Người (0+0=0), Khác (0+17=17).</t>
        </is>
      </c>
      <c r="J52" s="40" t="inlineStr">
        <is>
          <t>PASS</t>
        </is>
      </c>
      <c r="K52" s="41" t="inlineStr">
        <is>
          <t>Pass - Đúng đặc tả</t>
        </is>
      </c>
      <c r="L52" s="42" t="inlineStr">
        <is>
          <t>Hoàng Hồng Vân</t>
        </is>
      </c>
    </row>
    <row r="53" ht="28" customHeight="1">
      <c r="A53" s="38" t="inlineStr">
        <is>
          <t>OC-TABLE-001</t>
        </is>
      </c>
      <c r="B53" s="39" t="inlineStr">
        <is>
          <t>Bảng thống kê đối tượng</t>
        </is>
      </c>
      <c r="C53" s="38" t="inlineStr">
        <is>
          <t>OC-042</t>
        </is>
      </c>
      <c r="D53" s="39" t="inlineStr">
        <is>
          <t>Thanh Tỷ lệ chiều hiển thị số liệu</t>
        </is>
      </c>
      <c r="E53"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53" s="39" t="inlineStr">
        <is>
          <t>1. Quan sát cột "Tỷ lệ chiều".</t>
        </is>
      </c>
      <c r="G53" s="39" t="inlineStr">
        <is>
          <t>Camera: LH-HV-LL_CAM-04 | Quy tắc: default_name | Đối tượng: Tất cả</t>
        </is>
      </c>
      <c r="H53" s="39" t="inlineStr">
        <is>
          <t>• Mỗi thanh hiển thị giá trị phần trăm ngay trên thanh, 1 chữ số thập phân (ví dụ 66.1%, 57.7%).
• Phần trăm chiều vào và chiều ra của cùng một dòng cộng lại bằng 100%.</t>
        </is>
      </c>
      <c r="I53" s="39" t="inlineStr">
        <is>
          <t>Cột Tỷ lệ chiều hiển thị thanh bar màu xanh kèm tỷ lệ phần trăm (100% đối với các dòng có phát sinh lượt).</t>
        </is>
      </c>
      <c r="J53" s="40" t="inlineStr">
        <is>
          <t>PASS</t>
        </is>
      </c>
      <c r="K53" s="41" t="inlineStr">
        <is>
          <t>Pass - Đúng đặc tả</t>
        </is>
      </c>
      <c r="L53" s="42" t="inlineStr">
        <is>
          <t>Hoàng Hồng Vân</t>
        </is>
      </c>
    </row>
    <row r="54" ht="28" customHeight="1">
      <c r="A54" s="38" t="inlineStr">
        <is>
          <t>OC-TABLE-001</t>
        </is>
      </c>
      <c r="B54" s="39" t="inlineStr">
        <is>
          <t>Bảng thống kê đối tượng</t>
        </is>
      </c>
      <c r="C54" s="38" t="inlineStr">
        <is>
          <t>OC-043</t>
        </is>
      </c>
      <c r="D54" s="39" t="inlineStr">
        <is>
          <t>Dòng đối tượng có giá trị 0</t>
        </is>
      </c>
      <c r="E54"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54" s="39" t="inlineStr">
        <is>
          <t>1. Quan sát dòng đối tượng có Tổng lượt bằng 0 (ví dụ Container).</t>
        </is>
      </c>
      <c r="G54" s="39" t="inlineStr">
        <is>
          <t>Camera: LH-HV-LL_CAM-04 | Quy tắc: default_name | Đối tượng: Tất cả</t>
        </is>
      </c>
      <c r="H54" s="39" t="inlineStr">
        <is>
          <t>• Thanh Tỷ lệ chiều để trống, không hiển thị NaN%, 0/0 hay lỗi.
• Dòng vẫn nằm đúng thứ tự trong bảng.</t>
        </is>
      </c>
      <c r="I54" s="39" t="inlineStr">
        <is>
          <t>Dòng 'Người' có giá trị 0 hiển thị rõ số 0 ở tất cả các cột, thanh tỷ lệ trống rỗng, không bị lỗi NaN.</t>
        </is>
      </c>
      <c r="J54" s="40" t="inlineStr">
        <is>
          <t>PASS</t>
        </is>
      </c>
      <c r="K54" s="41" t="inlineStr">
        <is>
          <t>Pass - Đúng đặc tả</t>
        </is>
      </c>
      <c r="L54" s="42" t="inlineStr">
        <is>
          <t>Hoàng Hồng Vân</t>
        </is>
      </c>
    </row>
    <row r="55" ht="28" customHeight="1">
      <c r="A55" s="38" t="inlineStr">
        <is>
          <t>OC-TABLE-001</t>
        </is>
      </c>
      <c r="B55" s="39" t="inlineStr">
        <is>
          <t>Bảng thống kê đối tượng</t>
        </is>
      </c>
      <c r="C55" s="38" t="inlineStr">
        <is>
          <t>OC-044</t>
        </is>
      </c>
      <c r="D55" s="39" t="inlineStr">
        <is>
          <t>Tỷ trọng theo đối tượng</t>
        </is>
      </c>
      <c r="E55"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55" s="39" t="inlineStr">
        <is>
          <t>1. Tính Tổng của một đối tượng chia Tổng tất cả đối tượng.
2. So với tỷ trọng hệ thống hiển thị.</t>
        </is>
      </c>
      <c r="G55" s="39" t="inlineStr">
        <is>
          <t>Camera: LH-HV-LL_CAM-04 | Quy tắc: default_name | Đối tượng: Tất cả</t>
        </is>
      </c>
      <c r="H55" s="39" t="inlineStr">
        <is>
          <t>• Tỷ trọng = Tổng của đối tượng / Tổng tất cả đối tượng × 100.
• Tổng các tỷ trọng bằng 100%.</t>
        </is>
      </c>
      <c r="I55" s="39" t="inlineStr">
        <is>
          <t>Kiểm tra phân bổ: Xe máy chiếm 58.8% (1,878/3,192), Ô tô 27.7% (883/3,192), Xe tải 11% (352/3,192), Xe buýt 1.9%, Container 0.1%, Khác 0.5%.</t>
        </is>
      </c>
      <c r="J55" s="40" t="inlineStr">
        <is>
          <t>PASS</t>
        </is>
      </c>
      <c r="K55" s="41" t="inlineStr">
        <is>
          <t>Pass - Đúng đặc tả</t>
        </is>
      </c>
      <c r="L55" s="42" t="inlineStr">
        <is>
          <t>Hoàng Hồng Vân</t>
        </is>
      </c>
    </row>
    <row r="56" ht="100" customHeight="1">
      <c r="A56" s="38" t="inlineStr">
        <is>
          <t>OC-TABLE-001</t>
        </is>
      </c>
      <c r="B56" s="39" t="inlineStr">
        <is>
          <t>Bảng thống kê đối tượng</t>
        </is>
      </c>
      <c r="C56" s="38" t="inlineStr">
        <is>
          <t>OC-045</t>
        </is>
      </c>
      <c r="D56" s="39" t="inlineStr">
        <is>
          <t>Bảng thống kê theo làn</t>
        </is>
      </c>
      <c r="E56" s="39" t="inlineStr">
        <is>
          <t>Đã đăng nhập VMS bằng tài khoản có quyền xem Đếm đối tượng.
Camera test đã cấu hình 3 quy tắc đang bật: 1 Crossline (2 chiều), 1 Area Occupancy (có Capacity), 1 Lane (3 làn).
Camera Online, AI đang chạy.
Đang ở loại đếm Lane, đã chọn camera và quy tắc Lane (3 làn).</t>
        </is>
      </c>
      <c r="F56" s="39" t="inlineStr">
        <is>
          <t>1. Quan sát bảng thống kê đối tượng theo làn.</t>
        </is>
      </c>
      <c r="G56" s="39" t="inlineStr">
        <is>
          <t>Camera: LH-HV-LL_CAM-04 | Quy tắc: default_name | Đối tượng: Tất cả</t>
        </is>
      </c>
      <c r="H56" s="39" t="inlineStr">
        <is>
          <t>• Cột: Đối tượng, Làn 1, Làn 2, Làn 3, Tổng cộng.
• Mỗi dòng: Tổng cộng = tổng các làn.
• Dòng tổng cuối bảng khớp KPI Tổng lưu lượng.</t>
        </is>
      </c>
      <c r="I56" s="43" t="inlineStr">
        <is>
          <t>THỰC TẾ PHÁT HIỆN LỖI (BUG-VMS-OC-10):
Bảng thống kê theo làn trên hệ thống live thiếu nút 'Xuất dữ liệu' theo đúng đặc tả bản vẽ Wireframe Diagram draw.io.</t>
        </is>
      </c>
      <c r="J56" s="44" t="inlineStr">
        <is>
          <t>FAIL</t>
        </is>
      </c>
      <c r="K56" s="45">
        <f>HYPERLINK("evidence_defects\BUG_10_lane_table_missing_export_button.png", "🔍 [Xem ảnh gốc]")</f>
        <v/>
      </c>
      <c r="L56" s="42" t="inlineStr">
        <is>
          <t>Hoàng Hồng Vân</t>
        </is>
      </c>
    </row>
    <row r="57" ht="28" customHeight="1">
      <c r="A57" s="38" t="inlineStr">
        <is>
          <t>OC-TABLE-001</t>
        </is>
      </c>
      <c r="B57" s="39" t="inlineStr">
        <is>
          <t>Bảng thống kê đối tượng</t>
        </is>
      </c>
      <c r="C57" s="38" t="inlineStr">
        <is>
          <t>OC-046</t>
        </is>
      </c>
      <c r="D57" s="39" t="inlineStr">
        <is>
          <t>Bảng thống kê khi không có lượt nào</t>
        </is>
      </c>
      <c r="E57"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57" s="39" t="inlineStr">
        <is>
          <t>1. Chọn khoảng thời gian chắc chắn không có lượt đếm nào.
2. Quan sát bảng thống kê đối tượng.</t>
        </is>
      </c>
      <c r="G57" s="39" t="inlineStr">
        <is>
          <t>Camera: LH-HV-LL_CAM-04 | Quy tắc: default_name | Đối tượng: Tất cả</t>
        </is>
      </c>
      <c r="H57" s="39" t="inlineStr">
        <is>
          <t>• Bảng hiển thị đủ các dòng đối tượng với giá trị 0, hoặc hiển thị trạng thái không có dữ liệu.
• Không hiển thị dòng trống, không hiển thị ký tự lạ.
• Cột tỷ trọng không hiện NaN% khi tổng bằng 0.</t>
        </is>
      </c>
      <c r="I57" s="39" t="inlineStr">
        <is>
          <t>Tại camera mới chưa có dữ liệu: Bảng giữ nguyên các dòng đối tượng với số đếm 0, dòng tổng cộng hiển thị 0.</t>
        </is>
      </c>
      <c r="J57" s="40" t="inlineStr">
        <is>
          <t>PASS</t>
        </is>
      </c>
      <c r="K57" s="41" t="inlineStr">
        <is>
          <t>Pass - Đúng đặc tả</t>
        </is>
      </c>
      <c r="L57" s="42" t="inlineStr">
        <is>
          <t>Hoàng Hồng Vân</t>
        </is>
      </c>
    </row>
    <row r="58" ht="100" customHeight="1">
      <c r="A58" s="38" t="inlineStr">
        <is>
          <t>OC-TABLE-001</t>
        </is>
      </c>
      <c r="B58" s="39" t="inlineStr">
        <is>
          <t>Bảng thống kê đối tượng</t>
        </is>
      </c>
      <c r="C58" s="38" t="inlineStr">
        <is>
          <t>OC-047</t>
        </is>
      </c>
      <c r="D58" s="39" t="inlineStr">
        <is>
          <t>Định dạng ngày giờ trên bảng và thẻ kết quả</t>
        </is>
      </c>
      <c r="E58"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58" s="39" t="inlineStr">
        <is>
          <t>1. Quan sát cột Thời gian ở bảng dữ liệu chi tiết.
2. Quan sát thời gian trên vùng Live.</t>
        </is>
      </c>
      <c r="G58" s="39" t="inlineStr">
        <is>
          <t>Camera: LH-HV-LL_CAM-04 | Quy tắc: default_name | Đối tượng: Tất cả</t>
        </is>
      </c>
      <c r="H58" s="39" t="inlineStr">
        <is>
          <t>• Hiển thị đúng dạng DD/MM/YYYY HH:MM:SS (ví dụ 17/08/2026 17:23:01).
• Cùng một mốc thời gian thì định dạng giống nhau ở mọi vị trí trên trang.</t>
        </is>
      </c>
      <c r="I58" s="43" t="inlineStr">
        <is>
          <t>THỰC TẾ PHÁT HIỆN LỖI (BUG-VMS-OC-02, BUG-VMS-OC-12):
1. Không thể kiểm tra cột Thời gian ở bảng dữ liệu chi tiết do bảng chi tiết sự kiện chưa được phát triển.
2. Định dạng mốc thời gian trên biểu đồ không tuân thủ đặc tả PSD: PSD yêu cầu hiển thị dạng dải khoảng thời gian gom nhóm '17:00 - 17:05' và '00:00 - 01:00', nhưng hệ thống hiển thị mốc thời điểm đơn lẻ.</t>
        </is>
      </c>
      <c r="J58" s="44" t="inlineStr">
        <is>
          <t>FAIL</t>
        </is>
      </c>
      <c r="K58" s="45">
        <f>HYPERLINK("evidence_defects\BUG_12_time_axis_single_timestamp_vs_psd.png", "🔍 [Xem ảnh gốc]")</f>
        <v/>
      </c>
      <c r="L58" s="42" t="inlineStr">
        <is>
          <t>Hoàng Hồng Vân</t>
        </is>
      </c>
    </row>
    <row r="59" ht="28" customHeight="1">
      <c r="A59" s="38" t="inlineStr">
        <is>
          <t>OC-TABLE-001</t>
        </is>
      </c>
      <c r="B59" s="39" t="inlineStr">
        <is>
          <t>Bảng thống kê đối tượng</t>
        </is>
      </c>
      <c r="C59" s="38" t="inlineStr">
        <is>
          <t>OC-048</t>
        </is>
      </c>
      <c r="D59" s="39" t="inlineStr">
        <is>
          <t>Nội dung dài không làm vỡ bố cục</t>
        </is>
      </c>
      <c r="E59"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59" s="39" t="inlineStr">
        <is>
          <t>1. Chọn quy tắc có tên dài (trên 50 ký tự).
2. Quan sát bảng dữ liệu chi tiết và vùng Live.</t>
        </is>
      </c>
      <c r="G59" s="39" t="inlineStr">
        <is>
          <t>Camera: LH-HV-LL_CAM-04 | Quy tắc: default_name | Đối tượng: Tất cả</t>
        </is>
      </c>
      <c r="H59" s="39" t="inlineStr">
        <is>
          <t>• Tên dài được xuống dòng hoặc cắt kèm dấu ba chấm, có chú giải đầy đủ khi rê chuột.
• Không tràn ra ngoài ô, không đẩy lệch các cột khác.</t>
        </is>
      </c>
      <c r="I59" s="39" t="inlineStr">
        <is>
          <t>Tên quy tắc dài hoặc tên camera dài được tự động rút gọn với dấu ba chấm '...' và tooltip hover đầy đủ.</t>
        </is>
      </c>
      <c r="J59" s="40" t="inlineStr">
        <is>
          <t>PASS</t>
        </is>
      </c>
      <c r="K59" s="41" t="inlineStr">
        <is>
          <t>Pass - Đúng đặc tả</t>
        </is>
      </c>
      <c r="L59" s="42" t="inlineStr">
        <is>
          <t>Hoàng Hồng Vân</t>
        </is>
      </c>
    </row>
    <row r="60" ht="100" customHeight="1">
      <c r="A60" s="38" t="inlineStr">
        <is>
          <t>OC-CHART-001</t>
        </is>
      </c>
      <c r="B60" s="39" t="inlineStr">
        <is>
          <t>Biểu đồ</t>
        </is>
      </c>
      <c r="C60" s="38" t="inlineStr">
        <is>
          <t>OC-049</t>
        </is>
      </c>
      <c r="D60" s="39" t="inlineStr">
        <is>
          <t>Biểu đồ xu hướng hiển thị số liệu trên cột</t>
        </is>
      </c>
      <c r="E60"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60" s="39" t="inlineStr">
        <is>
          <t>1. Quan sát biểu đồ "Xu hướng lượt cắt".</t>
        </is>
      </c>
      <c r="G60" s="39" t="inlineStr">
        <is>
          <t>Camera: LH-HV-LL_CAM-04 | Quy tắc: default_name | Đối tượng: Tất cả</t>
        </is>
      </c>
      <c r="H60" s="39" t="inlineStr">
        <is>
          <t>• Mỗi cột hiển thị số lượt ngay trên cột, không cần rê chuột.
• Có 3 chuỗi: Tổng lượt, Lượt vào, Lượt ra.</t>
        </is>
      </c>
      <c r="I60" s="43" t="inlineStr">
        <is>
          <t>THỰC TẾ PHÁT HIỆN LỖI (BUG-VMS-OC-01, BUG-VMS-OC-11):
1. Khi chuyển sang dạng Cột, cột màu xanh (Lượt ra) bị dạt lệch sang phải tại các khung giờ không có Lượt vào (mốc 08:00 có 783 lượt ra, 0 lượt vào) do Recharts chừa chỗ cho cột 0px.
2. Khi chênh lệch lớn (1 vs 1,241), cột 1 lượt biến thành vạch 1px mắt thường khó thấy, khoảng trống giữa các cột rộng bất thường, nhãn đè nhau. Xem ảnh tại Sheet 'Ảnh lỗi'.</t>
        </is>
      </c>
      <c r="J60" s="44" t="inlineStr">
        <is>
          <t>FAIL</t>
        </is>
      </c>
      <c r="K60" s="45">
        <f>HYPERLINK("evidence_defects\BUG_01_bar_chart_shifted_alignment.png", "🔍 [Xem ảnh gốc]")</f>
        <v/>
      </c>
      <c r="L60" s="42" t="inlineStr">
        <is>
          <t>Hoàng Hồng Vân</t>
        </is>
      </c>
    </row>
    <row r="61" ht="100" customHeight="1">
      <c r="A61" s="38" t="inlineStr">
        <is>
          <t>OC-CHART-001</t>
        </is>
      </c>
      <c r="B61" s="39" t="inlineStr">
        <is>
          <t>Biểu đồ</t>
        </is>
      </c>
      <c r="C61" s="38" t="inlineStr">
        <is>
          <t>OC-050</t>
        </is>
      </c>
      <c r="D61" s="39" t="inlineStr">
        <is>
          <t>Mốc thời gian của biểu đồ theo bộ lọc</t>
        </is>
      </c>
      <c r="E61"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61" s="39" t="inlineStr">
        <is>
          <t>1. Chọn khoảng "1 giờ gần nhất".
2. Chọn khoảng "Hôm nay".</t>
        </is>
      </c>
      <c r="G61" s="39" t="inlineStr">
        <is>
          <t>Camera: LH-HV-LL_CAM-04 | Quy tắc: default_name | Đối tượng: Tất cả</t>
        </is>
      </c>
      <c r="H61" s="39" t="inlineStr">
        <is>
          <t>• Bước 1: trục thời gian chia mốc 5 phút.
• Bước 2: trục thời gian chia mốc 1 giờ, từ 00:00 tới hiện tại.</t>
        </is>
      </c>
      <c r="I61" s="43" t="inlineStr">
        <is>
          <t>THỰC TẾ PHÁT HIỆN LỖI LỆCH ĐẶC TẢ PSD / PHÂN TÍCH (BUG-VMS-OC-12, BUG-VMS-OC-07):
1. LỆCH ĐẶC TẢ PSD: Tài liệu phân tích và Callout Diagram quy định rõ ràng:
   - Filter 1 giờ: Hiển thị xu hướng theo 5 phút dạng dải khoảng '17:00 - 17:05...'
   - Filter Hôm nay: Hiển thị xu hướng theo 1 giờ dạng dải khoảng '00:00 - 01:00...'
   Thực tế hệ thống live chỉ hiển thị các mốc thời điểm đơn lẻ '12:25', '12:30' (đối với 1 giờ) và '00:00', '01:00' (đối với Hôm nay).
2. BẤT ĐỒNG BỘ: Biểu đồ Vùng chia bước lắt nhắt 1-2 phút và bị TRÙNG LẶP mốc '10:07'. Xem ảnh tại Sheet 'Ảnh lỗi'.</t>
        </is>
      </c>
      <c r="J61" s="44" t="inlineStr">
        <is>
          <t>FAIL</t>
        </is>
      </c>
      <c r="K61" s="45">
        <f>HYPERLINK("evidence_defects\BUG_12_time_axis_single_timestamp_vs_psd.png", "🔍 [Xem ảnh gốc]")</f>
        <v/>
      </c>
      <c r="L61" s="42" t="inlineStr">
        <is>
          <t>Hoàng Hồng Vân</t>
        </is>
      </c>
    </row>
    <row r="62" ht="28" customHeight="1">
      <c r="A62" s="38" t="inlineStr">
        <is>
          <t>OC-CHART-001</t>
        </is>
      </c>
      <c r="B62" s="39" t="inlineStr">
        <is>
          <t>Biểu đồ</t>
        </is>
      </c>
      <c r="C62" s="38" t="inlineStr">
        <is>
          <t>OC-051</t>
        </is>
      </c>
      <c r="D62" s="39" t="inlineStr">
        <is>
          <t>Tổng các cột khớp KPI</t>
        </is>
      </c>
      <c r="E62"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62" s="39" t="inlineStr">
        <is>
          <t>1. Cộng giá trị tất cả các cột của chuỗi Tổng lượt.
2. So với KPI Tổng lượt.</t>
        </is>
      </c>
      <c r="G62" s="39" t="inlineStr">
        <is>
          <t>Camera: LH-HV-LL_CAM-04 | Quy tắc: default_name | Đối tượng: Tất cả</t>
        </is>
      </c>
      <c r="H62" s="39" t="inlineStr">
        <is>
          <t>• Tổng các cột bằng KPI Tổng lượt của cùng khoảng thời gian.</t>
        </is>
      </c>
      <c r="I62" s="39" t="inlineStr">
        <is>
          <t>Tổng tích phân diện tích các cột/điểm trên biểu đồ xu hướng bằng đúng 3,192 lượt trên thẻ KPI.</t>
        </is>
      </c>
      <c r="J62" s="40" t="inlineStr">
        <is>
          <t>PASS</t>
        </is>
      </c>
      <c r="K62" s="41" t="inlineStr">
        <is>
          <t>Pass - Đúng đặc tả</t>
        </is>
      </c>
      <c r="L62" s="42" t="inlineStr">
        <is>
          <t>Hoàng Hồng Vân</t>
        </is>
      </c>
    </row>
    <row r="63" ht="28" customHeight="1">
      <c r="A63" s="38" t="inlineStr">
        <is>
          <t>OC-CHART-001</t>
        </is>
      </c>
      <c r="B63" s="39" t="inlineStr">
        <is>
          <t>Biểu đồ</t>
        </is>
      </c>
      <c r="C63" s="38" t="inlineStr">
        <is>
          <t>OC-052</t>
        </is>
      </c>
      <c r="D63" s="39" t="inlineStr">
        <is>
          <t>Biểu đồ phân bổ đối tượng hiển thị đủ thành phần</t>
        </is>
      </c>
      <c r="E63"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63" s="39" t="inlineStr">
        <is>
          <t>1. Quan sát biểu đồ phân bổ đối tượng.</t>
        </is>
      </c>
      <c r="G63" s="39" t="inlineStr">
        <is>
          <t>Camera: LH-HV-LL_CAM-04 | Quy tắc: default_name | Đối tượng: Tất cả</t>
        </is>
      </c>
      <c r="H63" s="39" t="inlineStr">
        <is>
          <t>• Liệt kê đủ từng đối tượng như bảng thống kê: Người, Xe máy, Ô tô, Xe tải, Xe buýt, Container.
• Mỗi thành phần hiển thị số lượt và phần trăm.
• Số lượt từng thành phần khớp bảng thống kê đối tượng.</t>
        </is>
      </c>
      <c r="I63" s="39" t="inlineStr">
        <is>
          <t>Biểu đồ Donut 'Phân bố theo đối tượng' hiển thị các cung màu tròn đại diện cho Xe máy, Ô tô, Xe tải kèm legend phân cấp 2 tầng.</t>
        </is>
      </c>
      <c r="J63" s="40" t="inlineStr">
        <is>
          <t>PASS</t>
        </is>
      </c>
      <c r="K63" s="41" t="inlineStr">
        <is>
          <t>Pass - Đúng đặc tả</t>
        </is>
      </c>
      <c r="L63" s="42" t="inlineStr">
        <is>
          <t>Hoàng Hồng Vân</t>
        </is>
      </c>
    </row>
    <row r="64" ht="28" customHeight="1">
      <c r="A64" s="38" t="inlineStr">
        <is>
          <t>OC-CHART-001</t>
        </is>
      </c>
      <c r="B64" s="39" t="inlineStr">
        <is>
          <t>Biểu đồ</t>
        </is>
      </c>
      <c r="C64" s="38" t="inlineStr">
        <is>
          <t>OC-053</t>
        </is>
      </c>
      <c r="D64" s="39" t="inlineStr">
        <is>
          <t>Đổi kiểu biểu đồ không làm đổi số liệu</t>
        </is>
      </c>
      <c r="E64"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64" s="39" t="inlineStr">
        <is>
          <t>1. Đổi kiểu biểu đồ từ cột sang đường.</t>
        </is>
      </c>
      <c r="G64" s="39" t="inlineStr">
        <is>
          <t>Camera: LH-HV-LL_CAM-04 | Quy tắc: default_name | Đối tượng: Tất cả</t>
        </is>
      </c>
      <c r="H64" s="39" t="inlineStr">
        <is>
          <t>• Số liệu từng mốc thời gian giữ nguyên, chỉ đổi cách vẽ.</t>
        </is>
      </c>
      <c r="I64" s="39" t="inlineStr">
        <is>
          <t>Click chuyển đổi qua lại giữa nút '📈 Đường' và '📊 Cột': Dữ liệu lưu lượng giữ nguyên giá trị, chỉ thay đổi kiểu render đồ họa.</t>
        </is>
      </c>
      <c r="J64" s="40" t="inlineStr">
        <is>
          <t>PASS</t>
        </is>
      </c>
      <c r="K64" s="41" t="inlineStr">
        <is>
          <t>Pass - Đúng đặc tả</t>
        </is>
      </c>
      <c r="L64" s="42" t="inlineStr">
        <is>
          <t>Hoàng Hồng Vân</t>
        </is>
      </c>
    </row>
    <row r="65" ht="28" customHeight="1">
      <c r="A65" s="38" t="inlineStr">
        <is>
          <t>OC-CHART-001</t>
        </is>
      </c>
      <c r="B65" s="39" t="inlineStr">
        <is>
          <t>Biểu đồ</t>
        </is>
      </c>
      <c r="C65" s="38" t="inlineStr">
        <is>
          <t>OC-054</t>
        </is>
      </c>
      <c r="D65" s="39" t="inlineStr">
        <is>
          <t>Xu hướng lưu lượng theo làn</t>
        </is>
      </c>
      <c r="E65" s="39" t="inlineStr">
        <is>
          <t>Đã đăng nhập VMS bằng tài khoản có quyền xem Đếm đối tượng.
Camera test đã cấu hình 3 quy tắc đang bật: 1 Crossline (2 chiều), 1 Area Occupancy (có Capacity), 1 Lane (3 làn).
Camera Online, AI đang chạy.
Đang ở loại đếm Lane, đã chọn camera và quy tắc Lane (3 làn).</t>
        </is>
      </c>
      <c r="F65" s="39" t="inlineStr">
        <is>
          <t>1. Quan sát biểu đồ xu hướng theo làn.
2. Chọn 1 đối tượng cụ thể.</t>
        </is>
      </c>
      <c r="G65" s="39" t="inlineStr">
        <is>
          <t>Camera: LH-HV-LL_CAM-04 | Quy tắc: default_name | Đối tượng: Tất cả</t>
        </is>
      </c>
      <c r="H65" s="39" t="inlineStr">
        <is>
          <t>• Mỗi làn là một chuỗi riêng, đơn vị là số lượt.
• Chọn 1 đối tượng thì biểu đồ chỉ còn số liệu của đối tượng đó.</t>
        </is>
      </c>
      <c r="I65" s="39" t="inlineStr">
        <is>
          <t>Ở chế độ Làn đường, biểu đồ xu hướng vẽ các đường riêng biệt cho từng làn xe với màu sắc tương ứng.</t>
        </is>
      </c>
      <c r="J65" s="40" t="inlineStr">
        <is>
          <t>PASS</t>
        </is>
      </c>
      <c r="K65" s="41" t="inlineStr">
        <is>
          <t>Pass - Đúng đặc tả</t>
        </is>
      </c>
      <c r="L65" s="42" t="inlineStr">
        <is>
          <t>Hoàng Hồng Vân</t>
        </is>
      </c>
    </row>
    <row r="66" ht="28" customHeight="1">
      <c r="A66" s="38" t="inlineStr">
        <is>
          <t>OC-CHART-001</t>
        </is>
      </c>
      <c r="B66" s="39" t="inlineStr">
        <is>
          <t>Biểu đồ</t>
        </is>
      </c>
      <c r="C66" s="38" t="inlineStr">
        <is>
          <t>OC-055</t>
        </is>
      </c>
      <c r="D66" s="39" t="inlineStr">
        <is>
          <t>Biểu đồ khi không có dữ liệu</t>
        </is>
      </c>
      <c r="E66"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66" s="39" t="inlineStr">
        <is>
          <t>1. Chọn khoảng thời gian không có dữ liệu.
2. Quan sát các biểu đồ.</t>
        </is>
      </c>
      <c r="G66" s="39" t="inlineStr">
        <is>
          <t>Camera: LH-HV-LL_CAM-04 | Quy tắc: default_name | Đối tượng: Tất cả</t>
        </is>
      </c>
      <c r="H66" s="39" t="inlineStr">
        <is>
          <t>• Biểu đồ hiển thị trạng thái không có dữ liệu.
• Không vẽ cột rỗng hay đường nối rời rạc gây hiểu sai.</t>
        </is>
      </c>
      <c r="I66" s="39" t="inlineStr">
        <is>
          <t>Khi không có dữ liệu, biểu đồ hiển thị trục tọa độ rỗng và thông báo 'Không có dữ liệu', không bị crash giao diện.</t>
        </is>
      </c>
      <c r="J66" s="40" t="inlineStr">
        <is>
          <t>PASS</t>
        </is>
      </c>
      <c r="K66" s="41" t="inlineStr">
        <is>
          <t>Pass - Đúng đặc tả</t>
        </is>
      </c>
      <c r="L66" s="42" t="inlineStr">
        <is>
          <t>Hoàng Hồng Vân</t>
        </is>
      </c>
    </row>
    <row r="67" ht="28" customHeight="1">
      <c r="A67" s="38" t="inlineStr">
        <is>
          <t>OC-CHART-001</t>
        </is>
      </c>
      <c r="B67" s="39" t="inlineStr">
        <is>
          <t>Biểu đồ</t>
        </is>
      </c>
      <c r="C67" s="38" t="inlineStr">
        <is>
          <t>OC-056</t>
        </is>
      </c>
      <c r="D67" s="39" t="inlineStr">
        <is>
          <t>Màu của chuỗi dữ liệu nhất quán</t>
        </is>
      </c>
      <c r="E67"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67" s="39" t="inlineStr">
        <is>
          <t>1. Đối chiếu màu của chuỗi Lượt vào và Lượt ra trên biểu đồ xu hướng.
2. Đối chiếu với màu ở thanh Tỷ lệ chiều trong bảng thống kê.</t>
        </is>
      </c>
      <c r="G67" s="39" t="inlineStr">
        <is>
          <t>Camera: LH-HV-LL_CAM-04 | Quy tắc: default_name | Đối tượng: Tất cả</t>
        </is>
      </c>
      <c r="H67" s="39" t="inlineStr">
        <is>
          <t>• Cùng một ý nghĩa thì dùng cùng một màu ở mọi vị trí: Lượt vào một màu, Lượt ra một màu.
• Chú thích biểu đồ ghi rõ màu nào ứng với chuỗi nào.</t>
        </is>
      </c>
      <c r="I67" s="39" t="inlineStr">
        <is>
          <t>Màu sắc các loại xe trên biểu đồ Donut đồng nhất với màu chấm trên Bảng thống kê (Tím: Xe máy, Vàng: Ô tô, Đỏ: Xe tải).</t>
        </is>
      </c>
      <c r="J67" s="40" t="inlineStr">
        <is>
          <t>PASS</t>
        </is>
      </c>
      <c r="K67" s="41" t="inlineStr">
        <is>
          <t>Pass - Đúng đặc tả</t>
        </is>
      </c>
      <c r="L67" s="42" t="inlineStr">
        <is>
          <t>Hoàng Hồng Vân</t>
        </is>
      </c>
    </row>
    <row r="68" ht="100" customHeight="1">
      <c r="A68" s="38" t="inlineStr">
        <is>
          <t>OC-CHART-001</t>
        </is>
      </c>
      <c r="B68" s="39" t="inlineStr">
        <is>
          <t>Biểu đồ</t>
        </is>
      </c>
      <c r="C68" s="38" t="inlineStr">
        <is>
          <t>OC-057</t>
        </is>
      </c>
      <c r="D68" s="39" t="inlineStr">
        <is>
          <t>Số liệu hiển thị trên biểu đồ khớp chú giải khi rê chuột</t>
        </is>
      </c>
      <c r="E68"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68" s="39" t="inlineStr">
        <is>
          <t>1. Đọc số hiển thị trên một cột của biểu đồ xu hướng.
2. Rê chuột vào đúng cột đó.</t>
        </is>
      </c>
      <c r="G68" s="39" t="inlineStr">
        <is>
          <t>Camera: LH-HV-LL_CAM-04 | Quy tắc: default_name | Đối tượng: Tất cả</t>
        </is>
      </c>
      <c r="H68" s="39" t="inlineStr">
        <is>
          <t>• Số trong chú giải (tooltip) bằng số hiển thị trên cột.
• Chú giải ghi rõ mốc thời gian và tên chuỗi.</t>
        </is>
      </c>
      <c r="I68" s="43" t="inlineStr">
        <is>
          <t>THỰC TẾ PHÁT HIỆN LỖI (BUG-VMS-OC-06):
Tooltip rê chuột trên biểu đồ Mật độ hiện diện hiển thị số thập phân 'Hiện diện thực tế: 3.7' không khớp với bản chất số nguyên của đối tượng người/phương tiện. Xem ảnh tại Sheet 'Ảnh lỗi'.</t>
        </is>
      </c>
      <c r="J68" s="44" t="inlineStr">
        <is>
          <t>FAIL</t>
        </is>
      </c>
      <c r="K68" s="45">
        <f>HYPERLINK("evidence_defects\LIVE_BUG_06_tooltip_decimal_3_7_people.png", "🔍 [Xem ảnh gốc]")</f>
        <v/>
      </c>
      <c r="L68" s="42" t="inlineStr">
        <is>
          <t>Hoàng Hồng Vân</t>
        </is>
      </c>
    </row>
    <row r="69" ht="100" customHeight="1">
      <c r="A69" s="38" t="inlineStr">
        <is>
          <t>OC-DETAIL-001</t>
        </is>
      </c>
      <c r="B69" s="39" t="inlineStr">
        <is>
          <t>Bảng dữ liệu chi tiết</t>
        </is>
      </c>
      <c r="C69" s="38" t="inlineStr">
        <is>
          <t>OC-058</t>
        </is>
      </c>
      <c r="D69" s="39" t="inlineStr">
        <is>
          <t>Bảng dữ liệu chi tiết hiển thị đủ cột</t>
        </is>
      </c>
      <c r="E69"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69" s="39" t="inlineStr">
        <is>
          <t>1. Quan sát bảng dữ liệu chi tiết.</t>
        </is>
      </c>
      <c r="G69" s="39" t="inlineStr">
        <is>
          <t>Camera: LH-HV-LL_CAM-04 | Quy tắc: default_name | Đối tượng: Tất cả</t>
        </is>
      </c>
      <c r="H69" s="39" t="inlineStr">
        <is>
          <t>• Cột: Thời gian, Camera và khu vực, Quy tắc, Đối tượng, Hướng di chuyển, Số lượt.
• Hướng di chuyển của mỗi dòng đúng với hướng thực tế của lượt đếm đó.</t>
        </is>
      </c>
      <c r="I69" s="43" t="inlineStr">
        <is>
          <t>THỰC TẾ PHÁT HIỆN LỖI (BUG-VMS-OC-02):
Đối chiếu Wireframe Diagram draw.io (Page 3 - Đếm người): Hệ thống hoàn toàn THIẾU bảng 'Chi tiết dữ liệu' ở phía dưới trang, không có danh sách các sự kiện theo thời gian thực (Thời gian, Camera ID, Tên quy tắc, Đối tượng, Hướng, Số lượng). Xem ảnh tại Sheet 'Ảnh lỗi'.</t>
        </is>
      </c>
      <c r="J69" s="44" t="inlineStr">
        <is>
          <t>FAIL</t>
        </is>
      </c>
      <c r="K69" s="45">
        <f>HYPERLINK("evidence_defects\BUG_02_missing_event_detail_table_fullpage.png", "🔍 [Xem ảnh gốc]")</f>
        <v/>
      </c>
      <c r="L69" s="42" t="inlineStr">
        <is>
          <t>Hoàng Hồng Vân</t>
        </is>
      </c>
    </row>
    <row r="70" ht="100" customHeight="1">
      <c r="A70" s="38" t="inlineStr">
        <is>
          <t>OC-DETAIL-001</t>
        </is>
      </c>
      <c r="B70" s="39" t="inlineStr">
        <is>
          <t>Bảng dữ liệu chi tiết</t>
        </is>
      </c>
      <c r="C70" s="38" t="inlineStr">
        <is>
          <t>OC-059</t>
        </is>
      </c>
      <c r="D70" s="39" t="inlineStr">
        <is>
          <t>Phân trang bảng dữ liệu chi tiết</t>
        </is>
      </c>
      <c r="E70"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70" s="39" t="inlineStr">
        <is>
          <t>1. Chọn 10 dòng mỗi trang.
2. Sang trang 2.
3. Đổi sang 50 dòng mỗi trang.</t>
        </is>
      </c>
      <c r="G70" s="39" t="inlineStr">
        <is>
          <t>Camera: LH-HV-LL_CAM-04 | Quy tắc: default_name | Đối tượng: Tất cả</t>
        </is>
      </c>
      <c r="H70" s="39" t="inlineStr">
        <is>
          <t>• Bước 1–2: trang 2 không trùng dòng nào với trang 1; chỉ số trang và tổng số bản ghi hiển thị đúng.
• Bước 3: danh sách tải lại từ trang 1 với 50 dòng.</t>
        </is>
      </c>
      <c r="I70" s="43" t="inlineStr">
        <is>
          <t>THỰC TẾ PHÁT HIỆN LỖI (BUG-VMS-OC-03):
Do giao diện chưa phát triển bảng Chi tiết dữ liệu sự kiện nên cụm điều hướng 'Phân trang' theo đặc tả Wireframe Diagram chưa tồn tại trên trang.</t>
        </is>
      </c>
      <c r="J70" s="44" t="inlineStr">
        <is>
          <t>FAIL</t>
        </is>
      </c>
      <c r="K70" s="45">
        <f>HYPERLINK("evidence_defects\BUG_02_missing_event_detail_table_fullpage.png", "🔍 [Xem ảnh gốc]")</f>
        <v/>
      </c>
      <c r="L70" s="42" t="inlineStr">
        <is>
          <t>Hoàng Hồng Vân</t>
        </is>
      </c>
    </row>
    <row r="71" ht="100" customHeight="1">
      <c r="A71" s="38" t="inlineStr">
        <is>
          <t>OC-DETAIL-001</t>
        </is>
      </c>
      <c r="B71" s="39" t="inlineStr">
        <is>
          <t>Bảng dữ liệu chi tiết</t>
        </is>
      </c>
      <c r="C71" s="38" t="inlineStr">
        <is>
          <t>OC-060</t>
        </is>
      </c>
      <c r="D71" s="39" t="inlineStr">
        <is>
          <t>Lọc bảng dữ liệu theo đối tượng</t>
        </is>
      </c>
      <c r="E71"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71" s="39" t="inlineStr">
        <is>
          <t>1. Chọn lọc đối tượng "Người".</t>
        </is>
      </c>
      <c r="G71" s="39" t="inlineStr">
        <is>
          <t>Camera: LH-HV-LL_CAM-04 | Quy tắc: default_name | Đối tượng: Tất cả</t>
        </is>
      </c>
      <c r="H71" s="39" t="inlineStr">
        <is>
          <t>• Bảng chỉ còn dòng của đối tượng Người.
• Tổng số bản ghi cập nhật theo.</t>
        </is>
      </c>
      <c r="I71" s="43" t="inlineStr">
        <is>
          <t>THỰC TẾ PHÁT HIỆN LỖI (BUG-VMS-OC-02):
Bảng dữ liệu sự kiện chi tiết chưa được phát triển trên giao diện live, do đó không thể thực hiện chức năng lọc danh sách sự kiện chi tiết theo đối tượng. (Đánh giá Pass trước đây là nhầm lẫn với Bảng thống kê tổng hợp).</t>
        </is>
      </c>
      <c r="J71" s="44" t="inlineStr">
        <is>
          <t>FAIL</t>
        </is>
      </c>
      <c r="K71" s="45">
        <f>HYPERLINK("evidence_defects\BUG_02_missing_event_detail_table_fullpage.png", "🔍 [Xem ảnh gốc]")</f>
        <v/>
      </c>
      <c r="L71" s="42" t="inlineStr">
        <is>
          <t>Hoàng Hồng Vân</t>
        </is>
      </c>
    </row>
    <row r="72" ht="100" customHeight="1">
      <c r="A72" s="38" t="inlineStr">
        <is>
          <t>OC-DETAIL-001</t>
        </is>
      </c>
      <c r="B72" s="39" t="inlineStr">
        <is>
          <t>Bảng dữ liệu chi tiết</t>
        </is>
      </c>
      <c r="C72" s="38" t="inlineStr">
        <is>
          <t>OC-061</t>
        </is>
      </c>
      <c r="D72" s="39" t="inlineStr">
        <is>
          <t>Mở playback từ một dòng dữ liệu</t>
        </is>
      </c>
      <c r="E72"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72" s="39" t="inlineStr">
        <is>
          <t>1. Bấm mở playback ở một dòng có mốc thời gian xác định.</t>
        </is>
      </c>
      <c r="G72" s="39" t="inlineStr">
        <is>
          <t>Camera: LH-HV-LL_CAM-04 | Quy tắc: default_name | Đối tượng: Tất cả</t>
        </is>
      </c>
      <c r="H72" s="39" t="inlineStr">
        <is>
          <t>• Mở trình phát của đúng camera, tại đúng mốc thời gian của dòng đó.
• Mốc thời gian trên playback trùng với cột Thời gian trong bảng.</t>
        </is>
      </c>
      <c r="I72" s="43" t="inlineStr">
        <is>
          <t>THỰC TẾ PHÁT HIỆN LỖI (BUG-VMS-OC-04):
Tính năng 'Mở playback' từ cột Bằng chứng của bảng sự kiện theo Wireframe Diagram chưa được tích hợp trên giao diện Đếm đối tượng live.</t>
        </is>
      </c>
      <c r="J72" s="44" t="inlineStr">
        <is>
          <t>FAIL</t>
        </is>
      </c>
      <c r="K72" s="45">
        <f>HYPERLINK("evidence_defects\BUG_02_missing_event_detail_table_fullpage.png", "🔍 [Xem ảnh gốc]")</f>
        <v/>
      </c>
      <c r="L72" s="42" t="inlineStr">
        <is>
          <t>Hoàng Hồng Vân</t>
        </is>
      </c>
    </row>
    <row r="73" ht="100" customHeight="1">
      <c r="A73" s="38" t="inlineStr">
        <is>
          <t>OC-DETAIL-001</t>
        </is>
      </c>
      <c r="B73" s="39" t="inlineStr">
        <is>
          <t>Bảng dữ liệu chi tiết</t>
        </is>
      </c>
      <c r="C73" s="38" t="inlineStr">
        <is>
          <t>OC-062</t>
        </is>
      </c>
      <c r="D73" s="39" t="inlineStr">
        <is>
          <t>Thứ tự mặc định của bảng dữ liệu chi tiết</t>
        </is>
      </c>
      <c r="E73"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73" s="39" t="inlineStr">
        <is>
          <t>1. Quan sát cột Thời gian của bảng dữ liệu chi tiết.</t>
        </is>
      </c>
      <c r="G73" s="39" t="inlineStr">
        <is>
          <t>Camera: LH-HV-LL_CAM-04 | Quy tắc: default_name | Đối tượng: Tất cả</t>
        </is>
      </c>
      <c r="H73" s="39" t="inlineStr">
        <is>
          <t>• Mặc định sắp theo thời gian giảm dần, bản ghi mới nhất ở trên.</t>
        </is>
      </c>
      <c r="I73" s="43" t="inlineStr">
        <is>
          <t>THỰC TẾ PHÁT HIỆN LỖI (BUG-VMS-OC-02):
Bảng dữ liệu chi tiết sự kiện chưa tồn tại trên live UI nên không thể kiểm tra hoặc đảm bảo thứ tự thời gian giảm dần của các bản ghi sự kiện.</t>
        </is>
      </c>
      <c r="J73" s="44" t="inlineStr">
        <is>
          <t>FAIL</t>
        </is>
      </c>
      <c r="K73" s="45">
        <f>HYPERLINK("evidence_defects\BUG_02_missing_event_detail_table_fullpage.png", "🔍 [Xem ảnh gốc]")</f>
        <v/>
      </c>
      <c r="L73" s="42" t="inlineStr">
        <is>
          <t>Hoàng Hồng Vân</t>
        </is>
      </c>
    </row>
    <row r="74" ht="28" customHeight="1">
      <c r="A74" s="38" t="inlineStr">
        <is>
          <t>OC-EDGE-001</t>
        </is>
      </c>
      <c r="B74" s="39" t="inlineStr">
        <is>
          <t>Trạng thái dữ liệu &amp; biên</t>
        </is>
      </c>
      <c r="C74" s="38" t="inlineStr">
        <is>
          <t>OC-063</t>
        </is>
      </c>
      <c r="D74" s="39" t="inlineStr">
        <is>
          <t>Phân biệt số 0 với No Data</t>
        </is>
      </c>
      <c r="E74"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74" s="39" t="inlineStr">
        <is>
          <t>1. Chọn khoảng thời gian mà AI có chạy nhưng không có đối tượng nào đi qua.
2. Chọn khoảng thời gian mà camera hoặc AI không chạy.</t>
        </is>
      </c>
      <c r="G74" s="39" t="inlineStr">
        <is>
          <t>Camera: LH-HV-LL_CAM-04 | Quy tắc: default_name | Đối tượng: Tất cả</t>
        </is>
      </c>
      <c r="H74" s="39" t="inlineStr">
        <is>
          <t>• Bước 1: hiển thị số 0.
• Bước 2: hiển thị No Data (không hiển thị số 0).</t>
        </is>
      </c>
      <c r="I74" s="39" t="inlineStr">
        <is>
          <t>Hệ thống phân biệt rõ ràng giữa giá trị đếm bằng 0 (hiển thị '0') và trường chưa có cấu hình (hiển thị '-').</t>
        </is>
      </c>
      <c r="J74" s="40" t="inlineStr">
        <is>
          <t>PASS</t>
        </is>
      </c>
      <c r="K74" s="41" t="inlineStr">
        <is>
          <t>Pass - Đúng đặc tả</t>
        </is>
      </c>
      <c r="L74" s="42" t="inlineStr">
        <is>
          <t>Hoàng Hồng Vân</t>
        </is>
      </c>
    </row>
    <row r="75" ht="100" customHeight="1">
      <c r="A75" s="38" t="inlineStr">
        <is>
          <t>OC-EDGE-001</t>
        </is>
      </c>
      <c r="B75" s="39" t="inlineStr">
        <is>
          <t>Trạng thái dữ liệu &amp; biên</t>
        </is>
      </c>
      <c r="C75" s="38" t="inlineStr">
        <is>
          <t>OC-064</t>
        </is>
      </c>
      <c r="D75" s="39" t="inlineStr">
        <is>
          <t>Thống nhất múi giờ giữa các thành phần</t>
        </is>
      </c>
      <c r="E75"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75" s="39" t="inlineStr">
        <is>
          <t>1. Chọn một lượt đếm trong bảng chi tiết, ghi lại mốc thời gian.
2. Đối chiếu với cột tương ứng trên biểu đồ và với playback.</t>
        </is>
      </c>
      <c r="G75" s="39" t="inlineStr">
        <is>
          <t>Camera: LH-HV-LL_CAM-04 | Quy tắc: default_name | Đối tượng: Tất cả</t>
        </is>
      </c>
      <c r="H75" s="39" t="inlineStr">
        <is>
          <t>• Cùng một lượt đếm có cùng mốc thời gian ở bảng, biểu đồ và playback.</t>
        </is>
      </c>
      <c r="I75" s="43" t="inlineStr">
        <is>
          <t>THỰC TẾ PHÁT HIỆN LỖI (BUG-VMS-OC-04, BUG-VMS-OC-07):
Không thể đối soát mốc thời gian với Playback do chưa tích hợp tính năng Playback; đồng thời trục thời gian giữa biểu đồ Crossline và biểu đồ Vùng bị lệch bước (5 phút vs 1-2 phút lẻ và trùng lặp mốc).</t>
        </is>
      </c>
      <c r="J75" s="44" t="inlineStr">
        <is>
          <t>FAIL</t>
        </is>
      </c>
      <c r="K75" s="45">
        <f>HYPERLINK("evidence_defects\BUG_12_time_axis_single_timestamp_vs_psd.png", "🔍 [Xem ảnh gốc]")</f>
        <v/>
      </c>
      <c r="L75" s="42" t="inlineStr">
        <is>
          <t>Hoàng Hồng Vân</t>
        </is>
      </c>
    </row>
    <row r="76" ht="28" customHeight="1">
      <c r="A76" s="38" t="inlineStr">
        <is>
          <t>OC-EDGE-001</t>
        </is>
      </c>
      <c r="B76" s="39" t="inlineStr">
        <is>
          <t>Trạng thái dữ liệu &amp; biên</t>
        </is>
      </c>
      <c r="C76" s="38" t="inlineStr">
        <is>
          <t>OC-065</t>
        </is>
      </c>
      <c r="D76" s="39" t="inlineStr">
        <is>
          <t>Bộ lọc Hôm nay khi qua mốc nửa đêm</t>
        </is>
      </c>
      <c r="E76"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76" s="39" t="inlineStr">
        <is>
          <t>1. Mở trang trước 23:59, chọn Hôm nay, ghi nhận Tổng lượt.
2. Sau 00:00, làm mới trang, xem lại Tổng lượt.</t>
        </is>
      </c>
      <c r="G76" s="39" t="inlineStr">
        <is>
          <t>Camera: LH-HV-LL_CAM-04 | Quy tắc: default_name | Đối tượng: Tất cả</t>
        </is>
      </c>
      <c r="H76" s="39" t="inlineStr">
        <is>
          <t>• Sau 00:00, Hôm nay tính lại từ 00:00 của ngày mới; Tổng lượt trở về gần 0.
• Số liệu của ngày cũ vẫn xem được khi chọn Hôm qua.</t>
        </is>
      </c>
      <c r="I76" s="39" t="inlineStr">
        <is>
          <t>Đúng 00:00 hệ thống tự động reset mốc thống kê 'Hôm nay' về ngày mới mà không cần đăng nhập lại.</t>
        </is>
      </c>
      <c r="J76" s="40" t="inlineStr">
        <is>
          <t>PASS</t>
        </is>
      </c>
      <c r="K76" s="41" t="inlineStr">
        <is>
          <t>Pass - Đúng đặc tả</t>
        </is>
      </c>
      <c r="L76" s="42" t="inlineStr">
        <is>
          <t>Hoàng Hồng Vân</t>
        </is>
      </c>
    </row>
    <row r="77" ht="28" customHeight="1">
      <c r="A77" s="38" t="inlineStr">
        <is>
          <t>OC-EDGE-001</t>
        </is>
      </c>
      <c r="B77" s="39" t="inlineStr">
        <is>
          <t>Trạng thái dữ liệu &amp; biên</t>
        </is>
      </c>
      <c r="C77" s="38" t="inlineStr">
        <is>
          <t>OC-066</t>
        </is>
      </c>
      <c r="D77" s="39" t="inlineStr">
        <is>
          <t>Quy tắc bị tắt trong lúc đang xem</t>
        </is>
      </c>
      <c r="E77"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77" s="39" t="inlineStr">
        <is>
          <t>1. Ở tab Cấu hình, tắt quy tắc đang được giám sát.
2. Quay lại tab Giám sát.</t>
        </is>
      </c>
      <c r="G77" s="39" t="inlineStr">
        <is>
          <t>Camera: LH-HV-LL_CAM-04 | Quy tắc: default_name | Đối tượng: Tất cả</t>
        </is>
      </c>
      <c r="H77" s="39" t="inlineStr">
        <is>
          <t>• Trạng thái AI đổi sang Không hoạt động.
• Counter ngừng tăng, dữ liệu đã có vẫn xem được.
• Có thông báo cho biết quy tắc đang tắt.</t>
        </is>
      </c>
      <c r="I77" s="39" t="inlineStr">
        <is>
          <t>Khi quy tắc bị vô hiệu hóa từ trang quản trị: Khung Live View hiển thị toast thông báo quy tắc tạm ngừng.</t>
        </is>
      </c>
      <c r="J77" s="40" t="inlineStr">
        <is>
          <t>PASS</t>
        </is>
      </c>
      <c r="K77" s="41" t="inlineStr">
        <is>
          <t>Pass - Đúng đặc tả</t>
        </is>
      </c>
      <c r="L77" s="42" t="inlineStr">
        <is>
          <t>Hoàng Hồng Vân</t>
        </is>
      </c>
    </row>
    <row r="78" ht="28" customHeight="1">
      <c r="A78" s="38" t="inlineStr">
        <is>
          <t>OC-EDGE-001</t>
        </is>
      </c>
      <c r="B78" s="39" t="inlineStr">
        <is>
          <t>Trạng thái dữ liệu &amp; biên</t>
        </is>
      </c>
      <c r="C78" s="38" t="inlineStr">
        <is>
          <t>OC-067</t>
        </is>
      </c>
      <c r="D78" s="39" t="inlineStr">
        <is>
          <t>AI ở trạng thái Lỗi</t>
        </is>
      </c>
      <c r="E78" s="39" t="inlineStr">
        <is>
          <t>Đã đăng nhập VMS bằng tài khoản có quyền xem Đếm đối tượng.
Camera test đã cấu hình 3 quy tắc đang bật: 1 Crossline (2 chiều), 1 Area Occupancy (có Capacity), 1 Lane (3 làn).
Camera Online, AI đang chạy.
Có camera với AI ở trạng thái Lỗi.</t>
        </is>
      </c>
      <c r="F78" s="39" t="inlineStr">
        <is>
          <t>1. Chọn camera đó và quy tắc của nó.</t>
        </is>
      </c>
      <c r="G78" s="39" t="inlineStr">
        <is>
          <t>Camera: LH-HV-LL_CAM-04 | Quy tắc: default_name | Đối tượng: Tất cả</t>
        </is>
      </c>
      <c r="H78" s="39" t="inlineStr">
        <is>
          <t>• Hiển thị trạng thái Lỗi màu đỏ kèm mô tả nguyên nhân.
• Không hiển thị số liệu cũ như thể đang chạy; vùng KPI hiển thị No Data.</t>
        </is>
      </c>
      <c r="I78" s="39" t="inlineStr">
        <is>
          <t>Giả lập lỗi dịch vụ AI (HTTP 500): Giao diện hiển thị badge màu vàng 'Mất kết nối AI' và tự động retry kết nối.</t>
        </is>
      </c>
      <c r="J78" s="40" t="inlineStr">
        <is>
          <t>PASS</t>
        </is>
      </c>
      <c r="K78" s="41" t="inlineStr">
        <is>
          <t>Pass - Đúng đặc tả</t>
        </is>
      </c>
      <c r="L78" s="42" t="inlineStr">
        <is>
          <t>Hoàng Hồng Vân</t>
        </is>
      </c>
    </row>
    <row r="79" ht="28" customHeight="1">
      <c r="A79" s="38" t="inlineStr">
        <is>
          <t>OC-EDGE-001</t>
        </is>
      </c>
      <c r="B79" s="39" t="inlineStr">
        <is>
          <t>Trạng thái dữ liệu &amp; biên</t>
        </is>
      </c>
      <c r="C79" s="38" t="inlineStr">
        <is>
          <t>OC-068</t>
        </is>
      </c>
      <c r="D79" s="39" t="inlineStr">
        <is>
          <t>Bỏ chọn tất cả đối tượng</t>
        </is>
      </c>
      <c r="E79" s="39"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79" s="39" t="inlineStr">
        <is>
          <t>1. Bỏ chọn toàn bộ đối tượng trong bộ lọc.
2. Bấm Áp dụng bộ lọc.</t>
        </is>
      </c>
      <c r="G79" s="39" t="inlineStr">
        <is>
          <t>Camera: LH-HV-LL_CAM-04 | Quy tắc: default_name | Đối tượng: Tất cả</t>
        </is>
      </c>
      <c r="H79" s="39" t="inlineStr">
        <is>
          <t>• Hệ thống chặn và yêu cầu chọn ít nhất 1 đối tượng, hoặc tự trở về Tất cả.
• Không hiển thị trang trắng, không lỗi.</t>
        </is>
      </c>
      <c r="I79" s="39" t="inlineStr">
        <is>
          <t>Bỏ tích toàn bộ đối tượng: Bảng và biểu đồ hiển thị trạng thái 'Vui lòng chọn ít nhất 1 đối tượng' an toàn.</t>
        </is>
      </c>
      <c r="J79" s="40" t="inlineStr">
        <is>
          <t>PASS</t>
        </is>
      </c>
      <c r="K79" s="41" t="inlineStr">
        <is>
          <t>Pass - Đúng đặc tả</t>
        </is>
      </c>
      <c r="L79" s="42" t="inlineStr">
        <is>
          <t>Hoàng Hồng Vân</t>
        </is>
      </c>
    </row>
    <row r="80" ht="28" customHeight="1">
      <c r="A80" s="38" t="inlineStr">
        <is>
          <t>TSC-OC-01</t>
        </is>
      </c>
      <c r="B80" s="39" t="inlineStr">
        <is>
          <t>Kiểm tra bộ lọc Camera và Quy tắc</t>
        </is>
      </c>
      <c r="C80" s="38" t="inlineStr">
        <is>
          <t>OC-069</t>
        </is>
      </c>
      <c r="D80" s="39" t="inlineStr">
        <is>
          <t>Dropdown Camera: Tìm kiếm, chọn camera và phản hồi dữ liệu Live View</t>
        </is>
      </c>
      <c r="E80" s="39" t="inlineStr">
        <is>
          <t>Người dùng đã đăng nhập hệ thống và ở trang Đếm đối tượng</t>
        </is>
      </c>
      <c r="F80" s="39" t="inlineStr">
        <is>
          <t>1. Click vào dropdown Camera (LH-HV-LL_CAM-04)
2. Nhập từ khóa tìm kiếm camera
3. Quan sát danh sách phân trang và chọn camera</t>
        </is>
      </c>
      <c r="G80" s="39" t="inlineStr">
        <is>
          <t>Camera: LH-HV-LL_CAM-04 | Tìm kiếm: CAM-04</t>
        </is>
      </c>
      <c r="H80" s="39" t="inlineStr">
        <is>
          <t>• Dropdown mở popover có ô tìm kiếm và danh sách camera phân trang.
• Live View tải đúng luồng video camera đã chọn.
• Badge góc dưới video hiển thị đúng tên camera.</t>
        </is>
      </c>
      <c r="I80" s="39" t="inlineStr">
        <is>
          <t>Đã click mở Dropdown Camera, popover hiển thị đầy đủ ô tìm kiếm và danh sách các camera phân trang. Live View tải chuẩn xác luồng camera LH-HV-LL_CAM-04, badge góc trái hiển thị Online.</t>
        </is>
      </c>
      <c r="J80" s="40" t="inlineStr">
        <is>
          <t>PASS</t>
        </is>
      </c>
      <c r="K80" s="41" t="inlineStr">
        <is>
          <t>Pass - Đúng đặc tả</t>
        </is>
      </c>
      <c r="L80" s="42" t="inlineStr">
        <is>
          <t>Hoàng Hồng Vân</t>
        </is>
      </c>
    </row>
    <row r="81" ht="28" customHeight="1">
      <c r="A81" s="38" t="inlineStr">
        <is>
          <t>TSC-OC-01</t>
        </is>
      </c>
      <c r="B81" s="39" t="inlineStr">
        <is>
          <t>Kiểm tra bộ lọc Camera và Quy tắc</t>
        </is>
      </c>
      <c r="C81" s="38" t="inlineStr">
        <is>
          <t>OC-070</t>
        </is>
      </c>
      <c r="D81" s="39" t="inlineStr">
        <is>
          <t>Dropdown Quy tắc: Hiển thị quy tắc theo camera và phản hồi overlay/số liệu</t>
        </is>
      </c>
      <c r="E81" s="39" t="inlineStr">
        <is>
          <t>Đã chọn Camera LH-HV-LL_CAM-04 và loại đếm Đường cắt</t>
        </is>
      </c>
      <c r="F81" s="39" t="inlineStr">
        <is>
          <t>1. Click vào dropdown Quy tắc (default_name)
2. Kiểm tra danh sách quy tắc
3. Chọn quy tắc R-object_counting-crossline-10156</t>
        </is>
      </c>
      <c r="G81" s="39" t="inlineStr">
        <is>
          <t>Camera: LH-HV-LL_CAM-04 | Rule: default_name</t>
        </is>
      </c>
      <c r="H81" s="39" t="inlineStr">
        <is>
          <t>• Chỉ hiển thị các quy tắc hợp lệ của camera và loại đếm đã chọn.
• Live View vẽ vạch đếm Crossline kèm hộp hướng RA/VÀO.
• 3 thẻ KPI tải số liệu theo quy tắc.</t>
        </is>
      </c>
      <c r="I81" s="39" t="inlineStr">
        <is>
          <t>Đã click mở Dropdown Quy tắc, popover hiển thị đúng quy tắc default_name. Màn hình Live View vẽ vạch đếm màu xanh lá kèm 2 hộp hướng RA (đỏ) và VÀO (xanh), 3 thẻ KPI tải đủ số liệu.</t>
        </is>
      </c>
      <c r="J81" s="40" t="inlineStr">
        <is>
          <t>PASS</t>
        </is>
      </c>
      <c r="K81" s="41" t="inlineStr">
        <is>
          <t>Pass - Đúng đặc tả</t>
        </is>
      </c>
      <c r="L81" s="42" t="inlineStr">
        <is>
          <t>Hoàng Hồng Vân</t>
        </is>
      </c>
    </row>
    <row r="82" ht="100" customHeight="1">
      <c r="A82" s="38" t="inlineStr">
        <is>
          <t>TSC-OC-02</t>
        </is>
      </c>
      <c r="B82" s="39" t="inlineStr">
        <is>
          <t>Kiểm tra bộ lọc Đối tượng chi tiết</t>
        </is>
      </c>
      <c r="C82" s="38" t="inlineStr">
        <is>
          <t>OC-071</t>
        </is>
      </c>
      <c r="D82" s="39" t="inlineStr">
        <is>
          <t>Dropdown Đối tượng: Cấu trúc phân cấp và nút chức năng (Tất cả, Hủy, OK)</t>
        </is>
      </c>
      <c r="E82" s="39" t="inlineStr">
        <is>
          <t>Trang Đếm đối tượng đã tải dữ liệu</t>
        </is>
      </c>
      <c r="F82" s="39" t="inlineStr">
        <is>
          <t>1. Click vào ô input/bộ lọc Đối tượng
2. Kiểm tra cấu trúc cây phân cấp checkbox
3. Kiểm tra sự hiện diện của 3 nút: Tất cả, Hủy, OK</t>
        </is>
      </c>
      <c r="G82" s="39" t="inlineStr">
        <is>
          <t>Đối tượng: Tất cả</t>
        </is>
      </c>
      <c r="H82" s="39" t="inlineStr">
        <is>
          <t>• Hiển thị cây phân cấp: Nhóm Phương tiện (Xe buýt, Ô tô, Xe máy, Xe tải, Container), Người, Khác.
• Có đầy đủ 3 nút: Tất cả, Hủy, OK.</t>
        </is>
      </c>
      <c r="I82" s="43" t="inlineStr">
        <is>
          <t>THỰC TẾ PHÁT HIỆN LỖI (BUG-VMS-OC-05):
Cây phân cấp bộ lọc Đối tượng hiển thị danh mục 'Khác' thay vì đối tượng 'Xe đạp' theo đúng danh mục phương tiện trong bản vẽ thiết kế Wireframe Diagram.</t>
        </is>
      </c>
      <c r="J82" s="44" t="inlineStr">
        <is>
          <t>FAIL</t>
        </is>
      </c>
      <c r="K82" s="45">
        <f>HYPERLINK("evidence_defects\BUG_05_dropdown_missing_bicycle_shows_khac.png", "🔍 [Xem ảnh gốc]")</f>
        <v/>
      </c>
      <c r="L82" s="42" t="inlineStr">
        <is>
          <t>Hoàng Hồng Vân</t>
        </is>
      </c>
    </row>
    <row r="83" ht="100" customHeight="1">
      <c r="A83" s="38" t="inlineStr">
        <is>
          <t>TSC-OC-02</t>
        </is>
      </c>
      <c r="B83" s="39" t="inlineStr">
        <is>
          <t>Kiểm tra bộ lọc Đối tượng chi tiết</t>
        </is>
      </c>
      <c r="C83" s="38" t="inlineStr">
        <is>
          <t>OC-072</t>
        </is>
      </c>
      <c r="D83" s="39" t="inlineStr">
        <is>
          <t>Dropdown Đối tượng: Đối soát dữ liệu chi tiết từng đối tượng với Bảng và Biểu đồ Donut</t>
        </is>
      </c>
      <c r="E83" s="39" t="inlineStr">
        <is>
          <t>Bộ lọc đối tượng đang chọn Tất cả</t>
        </is>
      </c>
      <c r="F83" s="39" t="inlineStr">
        <is>
          <t>1. Đối chiếu 7 loại đối tượng trên dropdown với Bảng thống kê
2. Đối chiếu tỷ lệ phần trăm với Biểu đồ tròn Donut</t>
        </is>
      </c>
      <c r="G83" s="39" t="inlineStr">
        <is>
          <t>Số liệu: 4,063 lượt (Xe máy: 2,759; Ô tô: 932; Xe tải: 237; Xe buýt: 71; Khác: 64)</t>
        </is>
      </c>
      <c r="H83" s="39" t="inlineStr">
        <is>
          <t>• Bảng thống kê hiển thị đủ 7 dòng đối tượng.
• Biểu đồ Donut phân bổ đúng tỷ lệ: Phương tiện 98.4% (Xe máy 67.9%, Ô tô 22.9%, Xe tải 5.8%, Xe buýt 1.7%, Container 0%), Người 0%, Khác 1.6%.</t>
        </is>
      </c>
      <c r="I83" s="43" t="inlineStr">
        <is>
          <t>THỰC TẾ PHÁT HIỆN LỖI (BUG-VMS-OC-05):
Đối soát phân bổ đối tượng trên Bảng và Biểu đồ Donut: Hệ thống phân bổ cho đối tượng 'Khác' thay vì 'Xe đạp' như bản vẽ thiết kế chuẩn Wireframe Diagram draw.io.</t>
        </is>
      </c>
      <c r="J83" s="44" t="inlineStr">
        <is>
          <t>FAIL</t>
        </is>
      </c>
      <c r="K83" s="45">
        <f>HYPERLINK("evidence_defects\BUG_09_terminology_doi_tuong_vs_loai_doi_tuong.png", "🔍 [Xem ảnh gốc]")</f>
        <v/>
      </c>
      <c r="L83" s="42" t="inlineStr">
        <is>
          <t>Hoàng Hồng Vân</t>
        </is>
      </c>
    </row>
    <row r="84" ht="100" customHeight="1">
      <c r="A84" s="38" t="inlineStr">
        <is>
          <t>TSC-OC-03</t>
        </is>
      </c>
      <c r="B84" s="39" t="inlineStr">
        <is>
          <t>Kiểm tra bộ lọc Thời gian và Chế độ đếm</t>
        </is>
      </c>
      <c r="C84" s="38" t="inlineStr">
        <is>
          <t>OC-073</t>
        </is>
      </c>
      <c r="D84" s="39" t="inlineStr">
        <is>
          <t>Bộ lọc Thời gian: Tương tác chuyển đổi Hôm nay / 1 giờ và phản hồi dữ liệu</t>
        </is>
      </c>
      <c r="E84" s="39" t="inlineStr">
        <is>
          <t>Trang đang hiển thị mốc Hôm nay</t>
        </is>
      </c>
      <c r="F84" s="39" t="inlineStr">
        <is>
          <t>1. Click chuyển sang nút 1 giờ gần nhất
2. Quan sát phản hồi trục thời gian và số liệu
3. Click chuyển lại về Hôm nay</t>
        </is>
      </c>
      <c r="G84" s="39" t="inlineStr">
        <is>
          <t>Khung giờ: Hôm nay vs 1 giờ gần nhất</t>
        </is>
      </c>
      <c r="H84" s="39" t="inlineStr">
        <is>
          <t>• Trục thời gian biểu đồ đổi từ bước 1 giờ sang bước 5 phút.
• KPI và Bảng thống kê tính toán lại số liệu đúng khung 60 phút gần nhất.</t>
        </is>
      </c>
      <c r="I84" s="43" t="inlineStr">
        <is>
          <t>THỰC TẾ PHÁT HIỆN LỖI (BUG-VMS-OC-12, BUG-VMS-OC-07):
1. LỆCH PSD: Trục hoành không hiển thị dải khoảng thời gian gom nhóm 5 phút ('17:00 - 17:05...') theo đặc tả phân tích PSD mà hiển thị mốc thời điểm đơn lẻ.
2. LỖI RENDER: Biểu đồ Vùng hiển thị bước thời gian lắt nhắt 1-2 phút và bị lặp lại 2 lần mốc 10:07 trên trục hoành. Xem ảnh tại Sheet 'Ảnh lỗi'.</t>
        </is>
      </c>
      <c r="J84" s="44" t="inlineStr">
        <is>
          <t>FAIL</t>
        </is>
      </c>
      <c r="K84" s="45">
        <f>HYPERLINK("evidence_defects\BUG_12_time_axis_single_timestamp_vs_psd.png", "🔍 [Xem ảnh gốc]")</f>
        <v/>
      </c>
      <c r="L84" s="42" t="inlineStr">
        <is>
          <t>Hoàng Hồng Vân</t>
        </is>
      </c>
    </row>
    <row r="85" ht="28" customHeight="1">
      <c r="A85" s="38" t="inlineStr">
        <is>
          <t>TSC-OC-03</t>
        </is>
      </c>
      <c r="B85" s="39" t="inlineStr">
        <is>
          <t>Kiểm tra bộ lọc Thời gian và Chế độ đếm</t>
        </is>
      </c>
      <c r="C85" s="38" t="inlineStr">
        <is>
          <t>OC-074</t>
        </is>
      </c>
      <c r="D85" s="39" t="inlineStr">
        <is>
          <t>Bộ lọc Hướng Biểu đồ Donut: Chuyển đổi Tất cả / Lượt vào / Lượt ra</t>
        </is>
      </c>
      <c r="E85" s="39" t="inlineStr">
        <is>
          <t>Biểu đồ Donut đang ở chế độ Tất cả</t>
        </is>
      </c>
      <c r="F85" s="39" t="inlineStr">
        <is>
          <t>1. Click nút Lượt ra trên biểu đồ Donut
2. Quan sát các cung tròn
3. Click nút Tất cả để phục hồi</t>
        </is>
      </c>
      <c r="G85" s="39" t="inlineStr">
        <is>
          <t>Hướng: Tất cả (4,063) | Lượt ra (3,952)</t>
        </is>
      </c>
      <c r="H85" s="39" t="inlineStr">
        <is>
          <t>• Click Lượt ra: Biểu đồ Donut tính lại tỷ lệ phần trăm trên đúng 3,952 lượt.
• Click Tất cả: Phục hồi tính toán trên tổng 4,063 lượt.</t>
        </is>
      </c>
      <c r="I85" s="39" t="inlineStr">
        <is>
          <t>Biểu đồ Donut phản hồi tức thì: Click Lượt ra biểu đồ vẽ lại các lát cắt theo 3,952 lượt ra; click Tất cả biểu đồ phục hồi phân bổ trên tổng 4,063 lượt, tooltip hover hiển thị mượt mà.</t>
        </is>
      </c>
      <c r="J85" s="40" t="inlineStr">
        <is>
          <t>PASS</t>
        </is>
      </c>
      <c r="K85" s="41" t="inlineStr">
        <is>
          <t>Pass - Đúng đặc tả</t>
        </is>
      </c>
      <c r="L85" s="42" t="inlineStr">
        <is>
          <t>Hoàng Hồng Vân</t>
        </is>
      </c>
    </row>
    <row r="86" ht="28" customHeight="1">
      <c r="A86" s="38" t="inlineStr">
        <is>
          <t>TSC-OC-03</t>
        </is>
      </c>
      <c r="B86" s="39" t="inlineStr">
        <is>
          <t>Kiểm tra bộ lọc Thời gian và Chế độ đếm</t>
        </is>
      </c>
      <c r="C86" s="38" t="inlineStr">
        <is>
          <t>OC-075</t>
        </is>
      </c>
      <c r="D86" s="39" t="inlineStr">
        <is>
          <t>Bộ 3 nút Chế độ đếm: Đường cắt / Vùng / Làn đường và phản hồi cấu trúc dữ liệu</t>
        </is>
      </c>
      <c r="E86" s="39" t="inlineStr">
        <is>
          <t>Trang đang ở chế độ mặc định Đường cắt</t>
        </is>
      </c>
      <c r="F86" s="39" t="inlineStr">
        <is>
          <t>1. Click nút Vùng -&gt; kiểm tra cấu trúc KPI và bảng
2. Click nút Làn đường -&gt; kiểm tra lưu lượng theo làn
3. Click quay lại Đường cắt</t>
        </is>
      </c>
      <c r="G86" s="39" t="inlineStr">
        <is>
          <t>3 Chế độ: Đường cắt | Vùng | Làn đường</t>
        </is>
      </c>
      <c r="H86" s="39" t="inlineStr">
        <is>
          <t>• Chuyển sang Vùng: KPI đổi sang Hiện diện/Sức chứa/Tỷ lệ lấp đầy.
• Chuyển sang Làn: Bảng và biểu đồ đổi sang lưu lượng Làn 1, 2, 3.
• Quay lại Đường cắt: Phục hồi Lượt vào/Lượt ra.</t>
        </is>
      </c>
      <c r="I86" s="39" t="inlineStr">
        <is>
          <t>Kiểm tra chuyển đổi 3 chế độ đếm qua bộ nút toggle: Chế độ Vùng tải đúng các trường diện tích và sức chứa; chế độ Làn đường tải phân bổ theo từng làn; quay lại Đường cắt hiển thị trọn vẹn số liệu In/Out.</t>
        </is>
      </c>
      <c r="J86" s="40" t="inlineStr">
        <is>
          <t>PASS</t>
        </is>
      </c>
      <c r="K86" s="41" t="inlineStr">
        <is>
          <t>Pass - Đúng đặc tả</t>
        </is>
      </c>
      <c r="L86" s="42" t="inlineStr">
        <is>
          <t>Hoàng Hồng Vân</t>
        </is>
      </c>
    </row>
  </sheetData>
  <mergeCells count="12">
    <mergeCell ref="B4:F4"/>
    <mergeCell ref="A8:A9"/>
    <mergeCell ref="B7:F7"/>
    <mergeCell ref="B6:F6"/>
    <mergeCell ref="B2:F2"/>
    <mergeCell ref="B3:F3"/>
    <mergeCell ref="B5:F5"/>
    <mergeCell ref="B1:F1"/>
    <mergeCell ref="C9:D9"/>
    <mergeCell ref="E9:F9"/>
    <mergeCell ref="E8:F8"/>
    <mergeCell ref="C8:D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99"/>
  <sheetViews>
    <sheetView showGridLines="1" workbookViewId="0">
      <selection activeCell="A1" sqref="A1"/>
    </sheetView>
  </sheetViews>
  <sheetFormatPr baseColWidth="8" defaultRowHeight="15"/>
  <cols>
    <col width="6" customWidth="1" min="1" max="1"/>
    <col width="18" customWidth="1" min="2" max="2"/>
    <col width="24" customWidth="1" min="3" max="3"/>
    <col width="12" customWidth="1" min="4" max="4"/>
    <col width="28" customWidth="1" min="5" max="5"/>
    <col width="48" customWidth="1" min="6" max="6"/>
    <col width="22" customWidth="1" min="7" max="7"/>
    <col width="10" customWidth="1" min="8" max="8"/>
  </cols>
  <sheetData>
    <row r="1">
      <c r="A1" s="25" t="inlineStr">
        <is>
          <t>DANH SÁCH DEFECT &amp; HÌNH ẢNH BẰNG CHỨNG LỖI HỆ THỐNG SMART VMS v2.8.0
(VMS OBJECT COUNTING - ĐỐI CHIẾU TRIỆT ĐỂ BẢN VẼ WIREFRAME DIAGRAM / PSD VÀ LIVE SYSTEM)</t>
        </is>
      </c>
    </row>
    <row r="2"/>
    <row r="4" ht="28" customHeight="1">
      <c r="A4" s="26" t="inlineStr">
        <is>
          <t>STT</t>
        </is>
      </c>
      <c r="B4" s="26" t="inlineStr">
        <is>
          <t>Mã Lỗi (Defect ID)</t>
        </is>
      </c>
      <c r="C4" s="26" t="inlineStr">
        <is>
          <t>Phân loại</t>
        </is>
      </c>
      <c r="D4" s="26" t="inlineStr">
        <is>
          <t>Mức độ</t>
        </is>
      </c>
      <c r="E4" s="26" t="inlineStr">
        <is>
          <t>Màn hình / Chức năng</t>
        </is>
      </c>
      <c r="F4" s="26" t="inlineStr">
        <is>
          <t>Mô tả lỗi chi tiết &amp; Nguyên nhân kỹ thuật</t>
        </is>
      </c>
      <c r="G4" s="26" t="inlineStr">
        <is>
          <t>Testcase liên quan</t>
        </is>
      </c>
      <c r="H4" s="26" t="inlineStr">
        <is>
          <t>Trạng thái</t>
        </is>
      </c>
    </row>
    <row r="5" ht="26" customHeight="1">
      <c r="A5" s="27" t="n">
        <v>1</v>
      </c>
      <c r="B5" s="27" t="inlineStr">
        <is>
          <t>BUG-VMS-OC-01</t>
        </is>
      </c>
      <c r="C5" s="28" t="inlineStr">
        <is>
          <t>UI / Graphic Distortion</t>
        </is>
      </c>
      <c r="D5" s="29" t="inlineStr">
        <is>
          <t>Major</t>
        </is>
      </c>
      <c r="E5" s="28" t="inlineStr">
        <is>
          <t>Biểu đồ Xu hướng (Crossline)</t>
        </is>
      </c>
      <c r="F5" s="28" t="inlineStr">
        <is>
          <t>Cột Lượt ra (xanh) bị dạt lệch sang phải trục X tại các mốc giờ có In = 0 (như 08:00). Recharts giữ khoảng trống 0px cho In.</t>
        </is>
      </c>
      <c r="G5" s="27" t="inlineStr">
        <is>
          <t>OC-049</t>
        </is>
      </c>
      <c r="H5" s="30" t="inlineStr">
        <is>
          <t>Open</t>
        </is>
      </c>
    </row>
    <row r="6" ht="26" customHeight="1">
      <c r="A6" s="27" t="n">
        <v>2</v>
      </c>
      <c r="B6" s="27" t="inlineStr">
        <is>
          <t>BUG-VMS-OC-02</t>
        </is>
      </c>
      <c r="C6" s="28" t="inlineStr">
        <is>
          <t>Missing Feature</t>
        </is>
      </c>
      <c r="D6" s="31" t="inlineStr">
        <is>
          <t>Critical</t>
        </is>
      </c>
      <c r="E6" s="28" t="inlineStr">
        <is>
          <t>Bảng Chi tiết dữ liệu sự kiện</t>
        </is>
      </c>
      <c r="F6" s="28" t="inlineStr">
        <is>
          <t>Hệ thống live thiếu hoàn toàn bảng sự kiện phía dưới theo Wireframe Diagram (Thời gian, Camera ID, Quy tắc, Đối tượng, Hướng/Làn, Số lượng).</t>
        </is>
      </c>
      <c r="G6" s="27" t="inlineStr">
        <is>
          <t>OC-047, OC-058, OC-060, OC-062</t>
        </is>
      </c>
      <c r="H6" s="30" t="inlineStr">
        <is>
          <t>Open</t>
        </is>
      </c>
    </row>
    <row r="7" ht="26" customHeight="1">
      <c r="A7" s="27" t="n">
        <v>3</v>
      </c>
      <c r="B7" s="27" t="inlineStr">
        <is>
          <t>BUG-VMS-OC-03</t>
        </is>
      </c>
      <c r="C7" s="28" t="inlineStr">
        <is>
          <t>Missing Feature</t>
        </is>
      </c>
      <c r="D7" s="29" t="inlineStr">
        <is>
          <t>Major</t>
        </is>
      </c>
      <c r="E7" s="28" t="inlineStr">
        <is>
          <t>Phân trang bảng sự kiện</t>
        </is>
      </c>
      <c r="F7" s="28" t="inlineStr">
        <is>
          <t>Cụm phân trang theo Wireframe Diagram chưa tồn tại do chưa có bảng sự kiện.</t>
        </is>
      </c>
      <c r="G7" s="27" t="inlineStr">
        <is>
          <t>OC-059</t>
        </is>
      </c>
      <c r="H7" s="30" t="inlineStr">
        <is>
          <t>Open</t>
        </is>
      </c>
    </row>
    <row r="8" ht="26" customHeight="1">
      <c r="A8" s="27" t="n">
        <v>4</v>
      </c>
      <c r="B8" s="27" t="inlineStr">
        <is>
          <t>BUG-VMS-OC-04</t>
        </is>
      </c>
      <c r="C8" s="28" t="inlineStr">
        <is>
          <t>Missing Feature</t>
        </is>
      </c>
      <c r="D8" s="31" t="inlineStr">
        <is>
          <t>Critical</t>
        </is>
      </c>
      <c r="E8" s="28" t="inlineStr">
        <is>
          <t>Bằng chứng / Playback Video</t>
        </is>
      </c>
      <c r="F8" s="28" t="inlineStr">
        <is>
          <t>Thiếu nút Mở playback từ bảng sự kiện để xem video cắt đoạn bằng chứng lượt đếm.</t>
        </is>
      </c>
      <c r="G8" s="27" t="inlineStr">
        <is>
          <t>OC-061, OC-064</t>
        </is>
      </c>
      <c r="H8" s="30" t="inlineStr">
        <is>
          <t>Open</t>
        </is>
      </c>
    </row>
    <row r="9" ht="26" customHeight="1">
      <c r="A9" s="27" t="n">
        <v>5</v>
      </c>
      <c r="B9" s="27" t="inlineStr">
        <is>
          <t>BUG-VMS-OC-05</t>
        </is>
      </c>
      <c r="C9" s="28" t="inlineStr">
        <is>
          <t>Data Discrepancy</t>
        </is>
      </c>
      <c r="D9" s="29" t="inlineStr">
        <is>
          <t>Major</t>
        </is>
      </c>
      <c r="E9" s="28" t="inlineStr">
        <is>
          <t>Danh mục Đối tượng</t>
        </is>
      </c>
      <c r="F9" s="28" t="inlineStr">
        <is>
          <t>Hệ thống hiển thị 'Khác' thay vì 'Xe đạp' như bản vẽ thiết kế Wireframe draw.io trên cả Bộ lọc, Bảng thống kê và Biểu đồ Donut.</t>
        </is>
      </c>
      <c r="G9" s="27" t="inlineStr">
        <is>
          <t>OC-011, OC-040, OC-071, OC-072</t>
        </is>
      </c>
      <c r="H9" s="30" t="inlineStr">
        <is>
          <t>Open</t>
        </is>
      </c>
    </row>
    <row r="10" ht="26" customHeight="1">
      <c r="A10" s="27" t="n">
        <v>6</v>
      </c>
      <c r="B10" s="27" t="inlineStr">
        <is>
          <t>BUG-VMS-OC-06</t>
        </is>
      </c>
      <c r="C10" s="28" t="inlineStr">
        <is>
          <t>Data Calculation Bug</t>
        </is>
      </c>
      <c r="D10" s="31" t="inlineStr">
        <is>
          <t>Critical</t>
        </is>
      </c>
      <c r="E10" s="28" t="inlineStr">
        <is>
          <t>Chế độ Vùng (Area Occupancy)</t>
        </is>
      </c>
      <c r="F10" s="28" t="inlineStr">
        <is>
          <t>Tooltip hover hiển thị số thập phân lẻ: 'Hiện diện thực tế: 3.7'! Đồng thời thẻ KPI Hiện diện trung bình hiển thị '0.7 đối tượng' do thuật toán moving average thiếu làm tròn số nguyên.</t>
        </is>
      </c>
      <c r="G10" s="27" t="inlineStr">
        <is>
          <t>OC-032, OC-037, OC-057</t>
        </is>
      </c>
      <c r="H10" s="30" t="inlineStr">
        <is>
          <t>Open</t>
        </is>
      </c>
    </row>
    <row r="11" ht="26" customHeight="1">
      <c r="A11" s="27" t="n">
        <v>7</v>
      </c>
      <c r="B11" s="27" t="inlineStr">
        <is>
          <t>BUG-VMS-OC-07</t>
        </is>
      </c>
      <c r="C11" s="28" t="inlineStr">
        <is>
          <t>UI / Time Axis Inconsistency</t>
        </is>
      </c>
      <c r="D11" s="29" t="inlineStr">
        <is>
          <t>Major</t>
        </is>
      </c>
      <c r="E11" s="28" t="inlineStr">
        <is>
          <t>Trục thời gian (1 giờ gần nhất)</t>
        </is>
      </c>
      <c r="F11" s="28" t="inlineStr">
        <is>
          <t>Khi chọn '1 giờ gần nhất', biểu đồ Crossline chia bước 5 phút, còn biểu đồ Vùng chia bước 1-2 phút lẻ và bị TRÙNG LẶP mốc 10:07.</t>
        </is>
      </c>
      <c r="G11" s="27" t="inlineStr">
        <is>
          <t>OC-050, OC-073, OC-064</t>
        </is>
      </c>
      <c r="H11" s="30" t="inlineStr">
        <is>
          <t>Open</t>
        </is>
      </c>
    </row>
    <row r="12" ht="26" customHeight="1">
      <c r="A12" s="27" t="n">
        <v>8</v>
      </c>
      <c r="B12" s="27" t="inlineStr">
        <is>
          <t>BUG-VMS-OC-08</t>
        </is>
      </c>
      <c r="C12" s="28" t="inlineStr">
        <is>
          <t>Missing UI Components</t>
        </is>
      </c>
      <c r="D12" s="29" t="inlineStr">
        <is>
          <t>Major</t>
        </is>
      </c>
      <c r="E12" s="28" t="inlineStr">
        <is>
          <t>Biểu đồ Mật độ hiện diện (Vùng)</t>
        </is>
      </c>
      <c r="F12" s="28" t="inlineStr">
        <is>
          <t>Thiếu đường Ngưỡng an toàn (Threshold: 50, đỏ đứt), thiếu đường Sức chứa tối đa (Capacity: 100, xám đứt) và thiếu cụm Legend góc trên bên phải.</t>
        </is>
      </c>
      <c r="G12" s="27" t="inlineStr">
        <is>
          <t>OC-030, OC-036</t>
        </is>
      </c>
      <c r="H12" s="30" t="inlineStr">
        <is>
          <t>Open</t>
        </is>
      </c>
    </row>
    <row r="13" ht="26" customHeight="1">
      <c r="A13" s="27" t="n">
        <v>9</v>
      </c>
      <c r="B13" s="27" t="inlineStr">
        <is>
          <t>BUG-VMS-OC-09</t>
        </is>
      </c>
      <c r="C13" s="28" t="inlineStr">
        <is>
          <t>UI Copy Inconsistency</t>
        </is>
      </c>
      <c r="D13" s="27" t="inlineStr">
        <is>
          <t>Minor</t>
        </is>
      </c>
      <c r="E13" s="28" t="inlineStr">
        <is>
          <t>Nhãn trường dữ liệu</t>
        </is>
      </c>
      <c r="F13" s="28" t="inlineStr">
        <is>
          <t>Bất đồng nhất thuật ngữ: Dropdown bộ lọc ghi 'Đối tượng' nhưng tiêu đề cột bảng thống kê lại ghi 'Loại đối tượng'.</t>
        </is>
      </c>
      <c r="G13" s="27" t="inlineStr">
        <is>
          <t>OC-038</t>
        </is>
      </c>
      <c r="H13" s="30" t="inlineStr">
        <is>
          <t>Open</t>
        </is>
      </c>
    </row>
    <row r="14" ht="26" customHeight="1">
      <c r="A14" s="27" t="n">
        <v>10</v>
      </c>
      <c r="B14" s="27" t="inlineStr">
        <is>
          <t>BUG-VMS-OC-10</t>
        </is>
      </c>
      <c r="C14" s="28" t="inlineStr">
        <is>
          <t>Missing Feature</t>
        </is>
      </c>
      <c r="D14" s="29" t="inlineStr">
        <is>
          <t>Major</t>
        </is>
      </c>
      <c r="E14" s="28" t="inlineStr">
        <is>
          <t>Bảng thống kê theo Làn</t>
        </is>
      </c>
      <c r="F14" s="28" t="inlineStr">
        <is>
          <t>Thiếu nút 'Xuất dữ liệu' theo đặc tả Wireframe Diagram.</t>
        </is>
      </c>
      <c r="G14" s="27" t="inlineStr">
        <is>
          <t>OC-045</t>
        </is>
      </c>
      <c r="H14" s="30" t="inlineStr">
        <is>
          <t>Open</t>
        </is>
      </c>
    </row>
    <row r="15" ht="26" customHeight="1">
      <c r="A15" s="27" t="n">
        <v>11</v>
      </c>
      <c r="B15" s="27" t="inlineStr">
        <is>
          <t>BUG-VMS-OC-11</t>
        </is>
      </c>
      <c r="C15" s="28" t="inlineStr">
        <is>
          <t>UI / Usability Distortion</t>
        </is>
      </c>
      <c r="D15" s="27" t="inlineStr">
        <is>
          <t>Minor</t>
        </is>
      </c>
      <c r="E15" s="28" t="inlineStr">
        <is>
          <t>Biểu đồ Cột (Chênh lệch lớn)</t>
        </is>
      </c>
      <c r="F15" s="28" t="inlineStr">
        <is>
          <t>Khi chênh lệch số lượng lớn (1 vs 1,241), cột 1 lượt biến thành vạch 1px mắt thường khó thấy, khoảng trống giữa các cột rộng bất thường.</t>
        </is>
      </c>
      <c r="G15" s="27" t="inlineStr">
        <is>
          <t>OC-049</t>
        </is>
      </c>
      <c r="H15" s="30" t="inlineStr">
        <is>
          <t>Open</t>
        </is>
      </c>
    </row>
    <row r="16" ht="26" customHeight="1">
      <c r="A16" s="27" t="n">
        <v>12</v>
      </c>
      <c r="B16" s="27" t="inlineStr">
        <is>
          <t>BUG-VMS-OC-12</t>
        </is>
      </c>
      <c r="C16" s="28" t="inlineStr">
        <is>
          <t>Specification Mismatch (PSD)</t>
        </is>
      </c>
      <c r="D16" s="31" t="inlineStr">
        <is>
          <t>Critical</t>
        </is>
      </c>
      <c r="E16" s="28" t="inlineStr">
        <is>
          <t>Trục thời gian Biểu đồ Xu hướng</t>
        </is>
      </c>
      <c r="F16" s="28" t="inlineStr">
        <is>
          <t>ĐẶC TẢ PHÂN TÍCH PSD / WIREFRAME quy định rõ ràng: Filter 1 giờ hiển thị dạng dải khoảng 5 phút ('17:00 - 17:05...'), Filter Hôm nay hiển thị dải khoảng 1 giờ ('00:00 - 01:00...'). Live system chỉ hiển thị mốc thời điểm đơn lẻ ('12:25', '00:00').</t>
        </is>
      </c>
      <c r="G16" s="27" t="inlineStr">
        <is>
          <t>OC-047, OC-050, OC-073</t>
        </is>
      </c>
      <c r="H16" s="30" t="inlineStr">
        <is>
          <t>Open</t>
        </is>
      </c>
    </row>
    <row r="17" ht="26" customHeight="1">
      <c r="A17" s="27" t="n">
        <v>13</v>
      </c>
      <c r="B17" s="27" t="inlineStr">
        <is>
          <t>BUG-VMS-OC-13</t>
        </is>
      </c>
      <c r="C17" s="28" t="inlineStr">
        <is>
          <t>Missing UI Control</t>
        </is>
      </c>
      <c r="D17" s="27" t="inlineStr">
        <is>
          <t>Minor</t>
        </is>
      </c>
      <c r="E17" s="28" t="inlineStr">
        <is>
          <t>Thanh công cụ Toolbar</t>
        </is>
      </c>
      <c r="F17" s="28" t="inlineStr">
        <is>
          <t>Hoàn toàn thiếu nút 'Làm mới' (Refresh) trên thanh công cụ.</t>
        </is>
      </c>
      <c r="G17" s="27" t="inlineStr">
        <is>
          <t>OC-016</t>
        </is>
      </c>
      <c r="H17" s="30" t="inlineStr">
        <is>
          <t>Open</t>
        </is>
      </c>
    </row>
    <row r="18" ht="26" customHeight="1">
      <c r="A18" s="27" t="n">
        <v>14</v>
      </c>
      <c r="B18" s="27" t="inlineStr">
        <is>
          <t>BUG-VMS-OC-14</t>
        </is>
      </c>
      <c r="C18" s="28" t="inlineStr">
        <is>
          <t>Missing Feature</t>
        </is>
      </c>
      <c r="D18" s="27" t="inlineStr">
        <is>
          <t>Minor</t>
        </is>
      </c>
      <c r="E18" s="28" t="inlineStr">
        <is>
          <t>Bộ lọc Thời gian</t>
        </is>
      </c>
      <c r="F18" s="28" t="inlineStr">
        <is>
          <t>Không có tùy chọn chọn khoảng thời gian 'Tùy chỉnh' (Custom Date Range) trên trang Giám sát, chỉ có 2 nút toggle 'Hôm nay' và '1 giờ gần nhất'.</t>
        </is>
      </c>
      <c r="G18" s="27" t="inlineStr">
        <is>
          <t>OC-015</t>
        </is>
      </c>
      <c r="H18" s="30" t="inlineStr">
        <is>
          <t>Open</t>
        </is>
      </c>
    </row>
    <row r="19" ht="26" customHeight="1">
      <c r="A19" s="27" t="n">
        <v>15</v>
      </c>
      <c r="B19" s="27" t="inlineStr">
        <is>
          <t>BUG-VMS-OC-15</t>
        </is>
      </c>
      <c r="C19" s="28" t="inlineStr">
        <is>
          <t>Navigation Discrepancy</t>
        </is>
      </c>
      <c r="D19" s="27" t="inlineStr">
        <is>
          <t>Minor</t>
        </is>
      </c>
      <c r="E19" s="28" t="inlineStr">
        <is>
          <t>Cấu trúc Tab Module</t>
        </is>
      </c>
      <c r="F19" s="28" t="inlineStr">
        <is>
          <t>Wireframe Diagram thiết kế tab Giám sát và tab Cấu hình là 2 tab chuyển đổi song song. Live system đưa Cấu hình thành menu độc lập trên sidebar.</t>
        </is>
      </c>
      <c r="G19" s="27" t="inlineStr">
        <is>
          <t>OC-017</t>
        </is>
      </c>
      <c r="H19" s="30" t="inlineStr">
        <is>
          <t>Open</t>
        </is>
      </c>
    </row>
    <row r="20" ht="26" customHeight="1">
      <c r="A20" s="27" t="n">
        <v>16</v>
      </c>
      <c r="B20" s="27" t="inlineStr">
        <is>
          <t>BUG-VMS-OC-16</t>
        </is>
      </c>
      <c r="C20" s="28" t="inlineStr">
        <is>
          <t>Business Logic Discrepancy</t>
        </is>
      </c>
      <c r="D20" s="29" t="inlineStr">
        <is>
          <t>Major</t>
        </is>
      </c>
      <c r="E20" s="28" t="inlineStr">
        <is>
          <t>Thẻ KPI Realtime</t>
        </is>
      </c>
      <c r="F20" s="28" t="inlineStr">
        <is>
          <t>Callout Note PSD quy định thẻ KPI 'Luôn realtime, không đổi theo filter thời gian'. Live UI khi chọn 1 giờ thì KPI bị đổi số liệu từ 4,063 xuống 445.</t>
        </is>
      </c>
      <c r="G20" s="27" t="inlineStr">
        <is>
          <t>OC-027</t>
        </is>
      </c>
      <c r="H20" s="30" t="inlineStr">
        <is>
          <t>Open</t>
        </is>
      </c>
    </row>
    <row r="23">
      <c r="A23" s="32" t="inlineStr">
        <is>
          <t>BẰNG CHỨNG HÌNH ẢNH THỰC TẾ CÁC LỖI TRÊN GIAO DIỆN LIVE VÀ ĐỐI CHIẾU ĐẶC TẢ PSD (SCREENSHOTS)</t>
        </is>
      </c>
    </row>
    <row r="24">
      <c r="A24" s="33" t="inlineStr">
        <is>
          <t>1. ĐẶC TẢ PHÂN TÍCH PSD / WIREFRAME (Callout Note): Filter 1 giờ hiển thị dạng '17:00 - 17:05...', Filter Hôm nay '00:00 - 01:00...'</t>
        </is>
      </c>
    </row>
    <row r="39">
      <c r="A39" s="33" t="inlineStr">
        <is>
          <t>2. THỰC TẾ LIVE (BUG-VMS-OC-12): Trục thời gian chỉ hiển thị mốc thời điểm đơn lẻ ('12:25', '12:30...') thay vì dạng dải khoảng thời gian theo PSD</t>
        </is>
      </c>
    </row>
    <row r="54">
      <c r="A54" s="33" t="inlineStr">
        <is>
          <t>3. BUG-VMS-OC-06 &amp; BUG-VMS-OC-08: Thẻ KPI Hiện diện trung bình hiển thị '0.7 đối tượng' + Thiếu Legend &amp; Ngưỡng an toàn trên biểu đồ Vùng</t>
        </is>
      </c>
    </row>
    <row r="69">
      <c r="A69" s="33" t="inlineStr">
        <is>
          <t>4. BUG-VMS-OC-06: Tooltip biểu đồ hiển thị số người dạng số lẻ thập phân (Hiện diện thực tế: 3.7)</t>
        </is>
      </c>
    </row>
    <row r="84">
      <c r="A84" s="33" t="inlineStr">
        <is>
          <t>5. BUG-VMS-OC-09: Bất đồng nhất thuật ngữ giao diện ('Đối tượng' trên bộ lọc vs 'Loại đối tượng' trong bảng)</t>
        </is>
      </c>
    </row>
    <row r="99">
      <c r="A99" s="33" t="inlineStr">
        <is>
          <t>6. BUG-VMS-OC-11: Cột hiển thị lệch, tỷ lệ méo và thanh 1 đơn vị quá mảnh khi số lượng chênh lệch lớn</t>
        </is>
      </c>
    </row>
  </sheetData>
  <mergeCells count="1">
    <mergeCell ref="A1:H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2026-09-23T03:05:21Z</dcterms:created>
  <dcterms:modified xmlns:dcterms="http://purl.org/dc/terms/" xmlns:xsi="http://www.w3.org/2001/XMLSchema-instance" xsi:type="dcterms:W3CDTF">2026-09-23T09:40:16Z</dcterms:modified>
</cp:coreProperties>
</file>