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3" activeTab="4" autoFilterDateGrouping="1"/>
  </bookViews>
  <sheets>
    <sheet xmlns:r="http://schemas.openxmlformats.org/officeDocument/2006/relationships" name="Sheet1" sheetId="1" state="hidden" r:id="rId1"/>
    <sheet xmlns:r="http://schemas.openxmlformats.org/officeDocument/2006/relationships" name="Tối ưu stream" sheetId="2" state="hidden" r:id="rId2"/>
    <sheet xmlns:r="http://schemas.openxmlformats.org/officeDocument/2006/relationships" name="Performance " sheetId="3" state="hidden" r:id="rId3"/>
    <sheet xmlns:r="http://schemas.openxmlformats.org/officeDocument/2006/relationships" name="Smart Search" sheetId="4" state="visible" r:id="rId4"/>
    <sheet xmlns:r="http://schemas.openxmlformats.org/officeDocument/2006/relationships" name="Smart Search ver2 " sheetId="5" state="visible" r:id="rId5"/>
  </sheets>
  <definedNames/>
  <calcPr calcId="191028" fullCalcOnLoad="1"/>
</workbook>
</file>

<file path=xl/styles.xml><?xml version="1.0" encoding="utf-8"?>
<styleSheet xmlns="http://schemas.openxmlformats.org/spreadsheetml/2006/main">
  <numFmts count="1">
    <numFmt numFmtId="164" formatCode="d/m/yyyy"/>
  </numFmts>
  <fonts count="29">
    <font>
      <name val="Arial"/>
      <color rgb="FF000000"/>
      <sz val="10"/>
      <scheme val="minor"/>
    </font>
    <font>
      <name val="&quot;Times New Roman&quot;"/>
      <color rgb="FF000000"/>
      <sz val="13"/>
    </font>
    <font>
      <name val="&quot;Aptos Narrow&quot;"/>
      <color rgb="FF000000"/>
      <sz val="11"/>
    </font>
    <font>
      <name val="&quot;Times New Roman&quot;"/>
      <b val="1"/>
      <color rgb="FF000000"/>
      <sz val="13"/>
    </font>
    <font>
      <name val="Times New Roman"/>
      <family val="1"/>
      <color theme="1"/>
      <sz val="13"/>
    </font>
    <font>
      <name val="Times New Roman"/>
      <family val="1"/>
      <b val="1"/>
      <color rgb="FF000000"/>
      <sz val="13"/>
    </font>
    <font>
      <name val="Times New Roman"/>
      <family val="1"/>
      <color theme="1"/>
      <sz val="11"/>
    </font>
    <font>
      <name val="Times New Roman"/>
      <family val="1"/>
      <color rgb="FF000000"/>
      <sz val="11"/>
    </font>
    <font>
      <name val="Times New Roman"/>
      <family val="1"/>
      <color rgb="FF000000"/>
      <sz val="13"/>
    </font>
    <font>
      <name val="Times New Roman"/>
      <family val="1"/>
      <sz val="10"/>
    </font>
    <font>
      <name val="Times New Roman"/>
      <family val="1"/>
      <color rgb="FF0000FF"/>
      <sz val="13"/>
      <u val="single"/>
    </font>
    <font>
      <name val="Times New Roman"/>
      <family val="1"/>
      <color rgb="FF1155CC"/>
      <sz val="13"/>
      <u val="single"/>
    </font>
    <font>
      <name val="Times New Roman"/>
      <family val="1"/>
      <color rgb="FFFFFFFF"/>
      <sz val="13"/>
    </font>
    <font>
      <name val="Calibri"/>
      <family val="2"/>
      <b val="1"/>
      <color rgb="FF000000"/>
      <sz val="11"/>
    </font>
    <font>
      <name val="Calibri"/>
      <family val="2"/>
      <color rgb="FF000000"/>
      <sz val="11"/>
    </font>
    <font>
      <name val="Calibri"/>
      <family val="2"/>
      <b val="1"/>
      <sz val="11"/>
    </font>
    <font>
      <name val="Arial"/>
      <family val="2"/>
      <b val="1"/>
      <color rgb="FF000000"/>
      <sz val="10"/>
      <scheme val="minor"/>
    </font>
    <font>
      <name val="Calibri"/>
      <family val="2"/>
      <b val="1"/>
      <color rgb="FFFFFFFF"/>
      <sz val="11"/>
    </font>
    <font>
      <name val="Calibri"/>
      <b val="1"/>
      <sz val="11"/>
    </font>
    <font>
      <name val="Times New Roman"/>
      <color rgb="FF000000"/>
      <sz val="11"/>
    </font>
    <font>
      <name val="Times New Roman"/>
      <b val="1"/>
      <color rgb="FF000000"/>
      <sz val="11"/>
    </font>
    <font>
      <name val="Arial"/>
      <charset val="1"/>
      <color rgb="FF000000"/>
      <sz val="10"/>
    </font>
    <font>
      <name val="Arial"/>
      <b val="1"/>
      <color rgb="FF000000"/>
      <sz val="14"/>
      <scheme val="minor"/>
    </font>
    <font>
      <name val="Times New Roman"/>
      <b val="1"/>
      <sz val="11"/>
    </font>
    <font>
      <name val="Arial"/>
      <b val="1"/>
      <color rgb="FF000000"/>
      <sz val="14"/>
    </font>
    <font>
      <name val="Arial"/>
      <color rgb="FF000000"/>
      <sz val="10"/>
    </font>
    <font>
      <name val="Times New Roman"/>
      <family val="1"/>
      <b val="1"/>
      <sz val="10"/>
    </font>
    <font>
      <name val="Times New Roman"/>
      <sz val="11"/>
    </font>
    <font>
      <name val="Times New Roman"/>
      <b val="1"/>
      <color rgb="001F4E78"/>
      <sz val="11"/>
    </font>
  </fonts>
  <fills count="19">
    <fill>
      <patternFill/>
    </fill>
    <fill>
      <patternFill patternType="gray125"/>
    </fill>
    <fill>
      <patternFill patternType="solid">
        <fgColor rgb="FFFFC000"/>
        <bgColor rgb="FFFFC000"/>
      </patternFill>
    </fill>
    <fill>
      <patternFill patternType="solid">
        <fgColor rgb="FF00B050"/>
        <bgColor rgb="FF00B050"/>
      </patternFill>
    </fill>
    <fill>
      <patternFill patternType="solid">
        <fgColor rgb="FFFF0000"/>
        <bgColor rgb="FFFF0000"/>
      </patternFill>
    </fill>
    <fill>
      <patternFill patternType="solid">
        <fgColor rgb="FFFFFF00"/>
        <bgColor indexed="64"/>
      </patternFill>
    </fill>
    <fill>
      <patternFill patternType="solid">
        <fgColor theme="4" tint="0.7999816888943144"/>
        <bgColor indexed="64"/>
      </patternFill>
    </fill>
    <fill>
      <patternFill patternType="solid">
        <fgColor rgb="FF00B050"/>
        <bgColor rgb="FF000000"/>
      </patternFill>
    </fill>
    <fill>
      <patternFill patternType="solid">
        <fgColor theme="0"/>
        <bgColor indexed="64"/>
      </patternFill>
    </fill>
    <fill>
      <patternFill patternType="solid">
        <fgColor theme="0" tint="-0.0499893185216834"/>
        <bgColor indexed="64"/>
      </patternFill>
    </fill>
    <fill>
      <patternFill patternType="solid">
        <fgColor rgb="FFFFD966"/>
        <bgColor rgb="FF000000"/>
      </patternFill>
    </fill>
    <fill>
      <patternFill patternType="solid">
        <fgColor rgb="FFFF0000"/>
        <bgColor rgb="FF000000"/>
      </patternFill>
    </fill>
    <fill>
      <patternFill patternType="solid">
        <fgColor rgb="FFFFC000"/>
        <bgColor rgb="FF000000"/>
      </patternFill>
    </fill>
    <fill>
      <patternFill patternType="solid">
        <fgColor rgb="FFFFC7CE"/>
        <bgColor rgb="FF000000"/>
      </patternFill>
    </fill>
    <fill>
      <patternFill patternType="solid">
        <fgColor rgb="FFFFEB9C"/>
        <bgColor rgb="FF000000"/>
      </patternFill>
    </fill>
    <fill>
      <patternFill patternType="solid">
        <fgColor rgb="FFC6EFCE"/>
        <bgColor rgb="FF000000"/>
      </patternFill>
    </fill>
    <fill>
      <patternFill patternType="solid">
        <fgColor rgb="FFB3CEFB"/>
        <bgColor rgb="FF000000"/>
      </patternFill>
    </fill>
    <fill>
      <patternFill patternType="solid">
        <fgColor rgb="FFD9D9D9"/>
        <bgColor rgb="FF000000"/>
      </patternFill>
    </fill>
    <fill>
      <patternFill patternType="solid">
        <fgColor rgb="00D9E1F2"/>
        <bgColor rgb="00D9E1F2"/>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00D9D9D9"/>
      </left>
      <right style="thin">
        <color rgb="00D9D9D9"/>
      </right>
      <top style="thin">
        <color rgb="00D9D9D9"/>
      </top>
      <bottom style="thin">
        <color rgb="00D9D9D9"/>
      </bottom>
    </border>
    <border>
      <left/>
      <right style="thin">
        <color rgb="FF000000"/>
      </right>
      <top/>
      <bottom/>
      <diagonal/>
    </border>
    <border>
      <left/>
      <right/>
      <top/>
      <bottom style="thin">
        <color rgb="FF000000"/>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19">
    <xf numFmtId="0" fontId="0" fillId="0" borderId="0" pivotButton="0" quotePrefix="0" xfId="0"/>
    <xf numFmtId="0" fontId="3" fillId="2" borderId="5" applyAlignment="1" pivotButton="0" quotePrefix="0" xfId="0">
      <alignment horizontal="center" wrapText="1"/>
    </xf>
    <xf numFmtId="0" fontId="3" fillId="2" borderId="9" applyAlignment="1" pivotButton="0" quotePrefix="0" xfId="0">
      <alignment horizontal="center" wrapText="1"/>
    </xf>
    <xf numFmtId="0" fontId="3" fillId="2" borderId="8" applyAlignment="1" pivotButton="0" quotePrefix="0" xfId="0">
      <alignment horizontal="center" wrapText="1"/>
    </xf>
    <xf numFmtId="0" fontId="4" fillId="0" borderId="4" applyAlignment="1" pivotButton="0" quotePrefix="0" xfId="0">
      <alignment horizontal="center" vertical="center" wrapText="1"/>
    </xf>
    <xf numFmtId="0" fontId="0" fillId="0" borderId="0" applyAlignment="1" pivotButton="0" quotePrefix="0" xfId="0">
      <alignment wrapText="1"/>
    </xf>
    <xf numFmtId="0" fontId="1" fillId="0" borderId="5" applyAlignment="1" pivotButton="0" quotePrefix="0" xfId="0">
      <alignment horizontal="center" wrapText="1"/>
    </xf>
    <xf numFmtId="0" fontId="0" fillId="0" borderId="4" applyAlignment="1" pivotButton="0" quotePrefix="0" xfId="0">
      <alignment vertical="center" wrapText="1"/>
    </xf>
    <xf numFmtId="0" fontId="6" fillId="0" borderId="4" applyAlignment="1" pivotButton="0" quotePrefix="0" xfId="0">
      <alignment horizontal="center" vertical="center" wrapText="1"/>
    </xf>
    <xf numFmtId="0" fontId="7" fillId="0" borderId="4" applyAlignment="1" pivotButton="0" quotePrefix="0" xfId="0">
      <alignment vertical="center" wrapText="1"/>
    </xf>
    <xf numFmtId="0" fontId="2" fillId="0" borderId="4" applyAlignment="1" pivotButton="0" quotePrefix="0" xfId="0">
      <alignment vertical="center" wrapText="1"/>
    </xf>
    <xf numFmtId="0" fontId="2" fillId="0" borderId="4" applyAlignment="1" pivotButton="0" quotePrefix="0" xfId="0">
      <alignment horizontal="center" vertical="center" wrapText="1"/>
    </xf>
    <xf numFmtId="0" fontId="0" fillId="0" borderId="0" applyAlignment="1" pivotButton="0" quotePrefix="0" xfId="0">
      <alignment vertical="center" wrapText="1"/>
    </xf>
    <xf numFmtId="0" fontId="8" fillId="2" borderId="1" applyAlignment="1" pivotButton="0" quotePrefix="0" xfId="0">
      <alignment horizontal="center" wrapText="1"/>
    </xf>
    <xf numFmtId="0" fontId="8" fillId="2" borderId="4" applyAlignment="1" pivotButton="0" quotePrefix="0" xfId="0">
      <alignment horizontal="center" wrapText="1"/>
    </xf>
    <xf numFmtId="0" fontId="8" fillId="2" borderId="4" applyAlignment="1" pivotButton="0" quotePrefix="0" xfId="0">
      <alignment horizontal="center" vertical="center" wrapText="1"/>
    </xf>
    <xf numFmtId="0" fontId="8" fillId="2" borderId="5" applyAlignment="1" pivotButton="0" quotePrefix="0" xfId="0">
      <alignment horizontal="center" vertical="center" wrapText="1"/>
    </xf>
    <xf numFmtId="0" fontId="8" fillId="2" borderId="6" applyAlignment="1" pivotButton="0" quotePrefix="0" xfId="0">
      <alignment horizontal="center" vertical="center" wrapText="1"/>
    </xf>
    <xf numFmtId="0" fontId="5" fillId="2" borderId="5" applyAlignment="1" pivotButton="0" quotePrefix="0" xfId="0">
      <alignment horizontal="center" vertical="center" wrapText="1"/>
    </xf>
    <xf numFmtId="0" fontId="5" fillId="2" borderId="9" applyAlignment="1" pivotButton="0" quotePrefix="0" xfId="0">
      <alignment horizontal="center" vertical="center" wrapText="1"/>
    </xf>
    <xf numFmtId="0" fontId="5" fillId="2" borderId="8" applyAlignment="1" pivotButton="0" quotePrefix="0" xfId="0">
      <alignment horizontal="center" vertical="center" wrapText="1"/>
    </xf>
    <xf numFmtId="0" fontId="8" fillId="0" borderId="4" applyAlignment="1" pivotButton="0" quotePrefix="0" xfId="0">
      <alignment horizontal="center" vertical="center" wrapText="1"/>
    </xf>
    <xf numFmtId="0" fontId="14" fillId="0" borderId="0" pivotButton="0" quotePrefix="0" xfId="0"/>
    <xf numFmtId="0" fontId="5" fillId="5" borderId="5" applyAlignment="1" pivotButton="0" quotePrefix="0" xfId="0">
      <alignment horizontal="center" vertical="center" wrapText="1"/>
    </xf>
    <xf numFmtId="14" fontId="2" fillId="0" borderId="3" applyAlignment="1" pivotButton="0" quotePrefix="0" xfId="0">
      <alignment horizontal="center" vertical="center" wrapText="1"/>
    </xf>
    <xf numFmtId="0" fontId="16" fillId="0" borderId="0" pivotButton="0" quotePrefix="0" xfId="0"/>
    <xf numFmtId="0" fontId="8" fillId="2" borderId="1" applyAlignment="1" pivotButton="0" quotePrefix="0" xfId="0">
      <alignment horizontal="center" vertical="center" wrapText="1"/>
    </xf>
    <xf numFmtId="0" fontId="0" fillId="0" borderId="0" applyAlignment="1" pivotButton="0" quotePrefix="0" xfId="0">
      <alignment vertical="center"/>
    </xf>
    <xf numFmtId="0" fontId="14" fillId="0" borderId="3" applyAlignment="1" pivotButton="0" quotePrefix="0" xfId="0">
      <alignment vertical="center" wrapText="1"/>
    </xf>
    <xf numFmtId="0" fontId="14" fillId="0" borderId="13" applyAlignment="1" pivotButton="0" quotePrefix="0" xfId="0">
      <alignment vertical="center" wrapText="1"/>
    </xf>
    <xf numFmtId="0" fontId="7" fillId="0" borderId="3" applyAlignment="1" pivotButton="0" quotePrefix="0" xfId="0">
      <alignment horizontal="center" vertical="center" wrapText="1"/>
    </xf>
    <xf numFmtId="0" fontId="15" fillId="12" borderId="12" applyAlignment="1" pivotButton="0" quotePrefix="0" xfId="0">
      <alignment vertical="center" wrapText="1"/>
    </xf>
    <xf numFmtId="0" fontId="15" fillId="12" borderId="13" applyAlignment="1" pivotButton="0" quotePrefix="0" xfId="0">
      <alignment vertical="center" wrapText="1"/>
    </xf>
    <xf numFmtId="0" fontId="17" fillId="7" borderId="13" applyAlignment="1" pivotButton="0" quotePrefix="0" xfId="0">
      <alignment vertical="center" wrapText="1"/>
    </xf>
    <xf numFmtId="0" fontId="13" fillId="10" borderId="13" applyAlignment="1" pivotButton="0" quotePrefix="0" xfId="0">
      <alignment vertical="center" wrapText="1"/>
    </xf>
    <xf numFmtId="0" fontId="17" fillId="11" borderId="13" applyAlignment="1" pivotButton="0" quotePrefix="0" xfId="0">
      <alignment vertical="center" wrapText="1"/>
    </xf>
    <xf numFmtId="0" fontId="8" fillId="0" borderId="4" applyAlignment="1" pivotButton="0" quotePrefix="0" xfId="0">
      <alignment horizontal="center" vertical="center"/>
    </xf>
    <xf numFmtId="0" fontId="0" fillId="0" borderId="0" applyAlignment="1" pivotButton="0" quotePrefix="0" xfId="0">
      <alignment horizontal="center" vertical="center"/>
    </xf>
    <xf numFmtId="0" fontId="20" fillId="12" borderId="5" applyAlignment="1" pivotButton="0" quotePrefix="0" xfId="0">
      <alignment vertical="center" wrapText="1"/>
    </xf>
    <xf numFmtId="0" fontId="20" fillId="12" borderId="9" applyAlignment="1" pivotButton="0" quotePrefix="0" xfId="0">
      <alignment vertical="center" wrapText="1"/>
    </xf>
    <xf numFmtId="0" fontId="20" fillId="12" borderId="9" applyAlignment="1" pivotButton="0" quotePrefix="0" xfId="0">
      <alignment horizontal="center" vertical="center" wrapText="1"/>
    </xf>
    <xf numFmtId="0" fontId="0" fillId="0" borderId="3" pivotButton="0" quotePrefix="0" xfId="0"/>
    <xf numFmtId="0" fontId="19" fillId="0" borderId="4" applyAlignment="1" pivotButton="0" quotePrefix="0" xfId="0">
      <alignment vertical="center" wrapText="1"/>
    </xf>
    <xf numFmtId="0" fontId="19" fillId="0" borderId="4" applyAlignment="1" pivotButton="0" quotePrefix="1" xfId="0">
      <alignment vertical="center" wrapText="1"/>
    </xf>
    <xf numFmtId="0" fontId="0" fillId="0" borderId="3" applyAlignment="1" pivotButton="0" quotePrefix="0" xfId="0">
      <alignment wrapText="1"/>
    </xf>
    <xf numFmtId="0" fontId="21" fillId="0" borderId="4" applyAlignment="1" pivotButton="0" quotePrefix="0" xfId="0">
      <alignment vertical="center" wrapText="1"/>
    </xf>
    <xf numFmtId="0" fontId="19" fillId="0" borderId="1" applyAlignment="1" pivotButton="0" quotePrefix="0" xfId="0">
      <alignment vertical="center" wrapText="1"/>
    </xf>
    <xf numFmtId="0" fontId="4" fillId="0" borderId="1" applyAlignment="1" pivotButton="0" quotePrefix="0" xfId="0">
      <alignment vertical="center" wrapText="1"/>
    </xf>
    <xf numFmtId="0" fontId="18" fillId="13" borderId="3" applyAlignment="1" pivotButton="0" quotePrefix="0" xfId="0">
      <alignment vertical="center" wrapText="1"/>
    </xf>
    <xf numFmtId="0" fontId="18" fillId="8" borderId="3" applyAlignment="1" pivotButton="0" quotePrefix="0" xfId="0">
      <alignment vertical="center" wrapText="1"/>
    </xf>
    <xf numFmtId="0" fontId="18" fillId="14" borderId="3" applyAlignment="1" pivotButton="0" quotePrefix="0" xfId="0">
      <alignment vertical="center" wrapText="1"/>
    </xf>
    <xf numFmtId="0" fontId="19" fillId="0" borderId="12" applyAlignment="1" pivotButton="0" quotePrefix="0" xfId="0">
      <alignment vertical="center" wrapText="1"/>
    </xf>
    <xf numFmtId="0" fontId="25" fillId="0" borderId="0" applyAlignment="1" pivotButton="0" quotePrefix="0" xfId="0">
      <alignment horizontal="center" wrapText="1"/>
    </xf>
    <xf numFmtId="0" fontId="22" fillId="0" borderId="0" pivotButton="0" quotePrefix="0" xfId="0"/>
    <xf numFmtId="0" fontId="5" fillId="2" borderId="7" applyAlignment="1" pivotButton="0" quotePrefix="0" xfId="0">
      <alignment horizontal="center" vertical="center" wrapText="1"/>
    </xf>
    <xf numFmtId="0" fontId="5" fillId="2" borderId="1" applyAlignment="1" pivotButton="0" quotePrefix="0" xfId="0">
      <alignment horizontal="center" wrapText="1"/>
    </xf>
    <xf numFmtId="0" fontId="5" fillId="2" borderId="4" applyAlignment="1" pivotButton="0" quotePrefix="0" xfId="0">
      <alignment horizontal="center" wrapText="1"/>
    </xf>
    <xf numFmtId="0" fontId="5" fillId="2" borderId="4" applyAlignment="1" pivotButton="0" quotePrefix="0" xfId="0">
      <alignment horizontal="center" vertical="center" wrapText="1"/>
    </xf>
    <xf numFmtId="0" fontId="5" fillId="2" borderId="6" applyAlignment="1" pivotButton="0" quotePrefix="0" xfId="0">
      <alignment horizontal="center" vertical="center" wrapText="1"/>
    </xf>
    <xf numFmtId="0" fontId="23" fillId="15" borderId="4" applyAlignment="1" pivotButton="0" quotePrefix="0" xfId="0">
      <alignment horizontal="center" vertical="center" wrapText="1"/>
    </xf>
    <xf numFmtId="0" fontId="19" fillId="0" borderId="12" applyAlignment="1" pivotButton="0" quotePrefix="0" xfId="0">
      <alignment horizontal="center" vertical="center" wrapText="1"/>
    </xf>
    <xf numFmtId="0" fontId="19" fillId="0" borderId="4" applyAlignment="1" pivotButton="0" quotePrefix="0" xfId="0">
      <alignment horizontal="left" vertical="center" wrapText="1"/>
    </xf>
    <xf numFmtId="0" fontId="0" fillId="6" borderId="0" applyAlignment="1" pivotButton="0" quotePrefix="0" xfId="0">
      <alignment wrapText="1"/>
    </xf>
    <xf numFmtId="0" fontId="19" fillId="0" borderId="3" applyAlignment="1" pivotButton="0" quotePrefix="0" xfId="0">
      <alignment horizontal="left" vertical="center" wrapText="1"/>
    </xf>
    <xf numFmtId="0" fontId="14" fillId="0" borderId="4" applyAlignment="1" pivotButton="0" quotePrefix="0" xfId="0">
      <alignment horizontal="left" vertical="center" wrapText="1"/>
    </xf>
    <xf numFmtId="0" fontId="14" fillId="0" borderId="4" applyAlignment="1" pivotButton="0" quotePrefix="1" xfId="0">
      <alignment horizontal="left" vertical="center" wrapText="1"/>
    </xf>
    <xf numFmtId="0" fontId="14" fillId="0" borderId="0" applyAlignment="1" pivotButton="0" quotePrefix="0" xfId="0">
      <alignment wrapText="1"/>
    </xf>
    <xf numFmtId="0" fontId="14" fillId="0" borderId="0" applyAlignment="1" pivotButton="0" quotePrefix="0" xfId="0">
      <alignment vertical="center" wrapText="1"/>
    </xf>
    <xf numFmtId="0" fontId="18" fillId="15" borderId="4" applyAlignment="1" pivotButton="0" quotePrefix="0" xfId="0">
      <alignment horizontal="center" vertical="center" wrapText="1"/>
    </xf>
    <xf numFmtId="0" fontId="18" fillId="13" borderId="4" applyAlignment="1" pivotButton="0" quotePrefix="0" xfId="0">
      <alignment horizontal="center" vertical="center" wrapText="1"/>
    </xf>
    <xf numFmtId="0" fontId="18" fillId="14" borderId="4" applyAlignment="1" pivotButton="0" quotePrefix="0" xfId="0">
      <alignment horizontal="center" vertical="center" wrapText="1"/>
    </xf>
    <xf numFmtId="0" fontId="18" fillId="17" borderId="4" applyAlignment="1" pivotButton="0" quotePrefix="0" xfId="0">
      <alignment horizontal="center" vertical="center" wrapText="1"/>
    </xf>
    <xf numFmtId="0" fontId="18" fillId="15" borderId="0" applyAlignment="1" pivotButton="0" quotePrefix="0" xfId="0">
      <alignment horizontal="center" vertical="center" wrapText="1"/>
    </xf>
    <xf numFmtId="0" fontId="14" fillId="0" borderId="0" applyAlignment="1" pivotButton="0" quotePrefix="0" xfId="0">
      <alignment horizontal="left" vertical="center" wrapText="1"/>
    </xf>
    <xf numFmtId="0" fontId="18" fillId="13" borderId="0" applyAlignment="1" pivotButton="0" quotePrefix="0" xfId="0">
      <alignment horizontal="center" vertical="center" wrapText="1"/>
    </xf>
    <xf numFmtId="0" fontId="23" fillId="9" borderId="4" applyAlignment="1" pivotButton="0" quotePrefix="0" xfId="0">
      <alignment horizontal="center" vertical="center"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9" fillId="0" borderId="2" applyAlignment="1" pivotButton="0" quotePrefix="0" xfId="0">
      <alignment vertical="center" wrapText="1"/>
    </xf>
    <xf numFmtId="0" fontId="9" fillId="0" borderId="3" applyAlignment="1" pivotButton="0" quotePrefix="0" xfId="0">
      <alignment vertical="center" wrapText="1"/>
    </xf>
    <xf numFmtId="0" fontId="24" fillId="16" borderId="2" applyAlignment="1" pivotButton="0" quotePrefix="0" xfId="0">
      <alignment horizontal="center"/>
    </xf>
    <xf numFmtId="0" fontId="8" fillId="0" borderId="1" applyAlignment="1" pivotButton="0" quotePrefix="0" xfId="0">
      <alignment horizontal="center" wrapText="1"/>
    </xf>
    <xf numFmtId="0" fontId="9" fillId="0" borderId="2" applyAlignment="1" pivotButton="0" quotePrefix="0" xfId="0">
      <alignment wrapText="1"/>
    </xf>
    <xf numFmtId="0" fontId="9" fillId="0" borderId="3" applyAlignment="1" pivotButton="0" quotePrefix="0" xfId="0">
      <alignment wrapText="1"/>
    </xf>
    <xf numFmtId="0" fontId="10" fillId="0" borderId="1" applyAlignment="1" pivotButton="0" quotePrefix="0" xfId="0">
      <alignment horizontal="center" vertical="center" wrapText="1"/>
    </xf>
    <xf numFmtId="164" fontId="8" fillId="0" borderId="1" applyAlignment="1" pivotButton="0" quotePrefix="0" xfId="0">
      <alignment horizontal="center" vertical="center" wrapText="1"/>
    </xf>
    <xf numFmtId="0" fontId="24" fillId="16" borderId="0" applyAlignment="1" pivotButton="0" quotePrefix="0" xfId="0">
      <alignment horizontal="center"/>
    </xf>
    <xf numFmtId="0" fontId="8" fillId="0" borderId="7" applyAlignment="1" pivotButton="0" quotePrefix="0" xfId="0">
      <alignment horizontal="center" vertical="center" wrapText="1"/>
    </xf>
    <xf numFmtId="0" fontId="9" fillId="0" borderId="8" applyAlignment="1" pivotButton="0" quotePrefix="0" xfId="0">
      <alignment vertical="center" wrapText="1"/>
    </xf>
    <xf numFmtId="0" fontId="9" fillId="0" borderId="9" applyAlignment="1" pivotButton="0" quotePrefix="0" xfId="0">
      <alignment vertical="center" wrapText="1"/>
    </xf>
    <xf numFmtId="0" fontId="5" fillId="2" borderId="7" applyAlignment="1" pivotButton="0" quotePrefix="0" xfId="0">
      <alignment horizontal="center" vertical="center" wrapText="1"/>
    </xf>
    <xf numFmtId="0" fontId="26" fillId="0" borderId="10" applyAlignment="1" pivotButton="0" quotePrefix="0" xfId="0">
      <alignment vertical="center" wrapText="1"/>
    </xf>
    <xf numFmtId="0" fontId="8"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0" fillId="0" borderId="0" applyAlignment="1" pivotButton="0" quotePrefix="0" xfId="0">
      <alignment horizontal="center" vertical="center" wrapText="1"/>
    </xf>
    <xf numFmtId="0" fontId="8" fillId="2" borderId="7" applyAlignment="1" pivotButton="0" quotePrefix="0" xfId="0">
      <alignment horizontal="center" vertical="center" wrapText="1"/>
    </xf>
    <xf numFmtId="0" fontId="9" fillId="0" borderId="10" applyAlignment="1" pivotButton="0" quotePrefix="0" xfId="0">
      <alignment vertical="center" wrapText="1"/>
    </xf>
    <xf numFmtId="0" fontId="14" fillId="0" borderId="5" applyAlignment="1" pivotButton="0" quotePrefix="0" xfId="0">
      <alignment vertical="center" wrapText="1"/>
    </xf>
    <xf numFmtId="0" fontId="14" fillId="0" borderId="11" applyAlignment="1" pivotButton="0" quotePrefix="0" xfId="0">
      <alignment vertical="center" wrapText="1"/>
    </xf>
    <xf numFmtId="0" fontId="14" fillId="0" borderId="12" applyAlignment="1" pivotButton="0" quotePrefix="0" xfId="0">
      <alignment vertical="center" wrapText="1"/>
    </xf>
    <xf numFmtId="0" fontId="8" fillId="0" borderId="4" applyAlignment="1" pivotButton="0" quotePrefix="0" xfId="0">
      <alignment horizontal="center" wrapText="1"/>
    </xf>
    <xf numFmtId="0" fontId="0" fillId="0" borderId="2" pivotButton="0" quotePrefix="0" xfId="0"/>
    <xf numFmtId="0" fontId="10" fillId="0" borderId="4" applyAlignment="1" pivotButton="0" quotePrefix="0" xfId="0">
      <alignment horizontal="center" vertical="center" wrapText="1"/>
    </xf>
    <xf numFmtId="164" fontId="8" fillId="0" borderId="4" applyAlignment="1" pivotButton="0" quotePrefix="0" xfId="0">
      <alignment horizontal="center" vertical="center" wrapText="1"/>
    </xf>
    <xf numFmtId="0" fontId="8" fillId="0" borderId="5" applyAlignment="1" pivotButton="0" quotePrefix="0" xfId="0">
      <alignment horizontal="center" vertical="center" wrapText="1"/>
    </xf>
    <xf numFmtId="0" fontId="0" fillId="0" borderId="8" pivotButton="0" quotePrefix="0" xfId="0"/>
    <xf numFmtId="0" fontId="0" fillId="0" borderId="9" pivotButton="0" quotePrefix="0" xfId="0"/>
    <xf numFmtId="0" fontId="8" fillId="3" borderId="4" applyAlignment="1" pivotButton="0" quotePrefix="0" xfId="0">
      <alignment horizontal="center" vertical="center" wrapText="1"/>
    </xf>
    <xf numFmtId="0" fontId="12" fillId="4" borderId="4" applyAlignment="1" pivotButton="0" quotePrefix="0" xfId="0">
      <alignment horizontal="center" vertical="center" wrapText="1"/>
    </xf>
    <xf numFmtId="0" fontId="0" fillId="0" borderId="10" pivotButton="0" quotePrefix="0" xfId="0"/>
    <xf numFmtId="0" fontId="14" fillId="0" borderId="4" applyAlignment="1" pivotButton="0" quotePrefix="0" xfId="0">
      <alignment vertical="center" wrapText="1"/>
    </xf>
    <xf numFmtId="0" fontId="0" fillId="0" borderId="11" pivotButton="0" quotePrefix="0" xfId="0"/>
    <xf numFmtId="0" fontId="0" fillId="0" borderId="12" pivotButton="0" quotePrefix="0" xfId="0"/>
    <xf numFmtId="0" fontId="27" fillId="0" borderId="14" applyAlignment="1" pivotButton="0" quotePrefix="0" xfId="0">
      <alignment horizontal="center" vertical="center" wrapText="1"/>
    </xf>
    <xf numFmtId="0" fontId="27" fillId="0" borderId="14" applyAlignment="1" pivotButton="0" quotePrefix="0" xfId="0">
      <alignment horizontal="left" vertical="center" wrapText="1"/>
    </xf>
    <xf numFmtId="0" fontId="28" fillId="18" borderId="14" applyAlignment="1" pivotButton="0" quotePrefix="0" xfId="0">
      <alignment horizontal="left" vertical="center" indent="1"/>
    </xf>
    <xf numFmtId="0" fontId="0" fillId="0" borderId="14" pivotButton="0" quotePrefix="0" xfId="0"/>
    <xf numFmtId="0" fontId="0" fillId="0" borderId="19" pivotButton="0" quotePrefix="0" xfId="0"/>
    <xf numFmtId="0" fontId="0" fillId="0" borderId="20" pivotButton="0" quotePrefix="0" xfId="0"/>
  </cellXfs>
  <cellStyles count="1">
    <cellStyle name="Normal" xfId="0" builtinId="0"/>
  </cellStyles>
  <dxfs count="49">
    <dxf>
      <fill>
        <patternFill patternType="solid">
          <fgColor rgb="FF999999"/>
          <bgColor rgb="FF999999"/>
        </patternFill>
      </fill>
    </dxf>
    <dxf>
      <fill>
        <patternFill patternType="solid">
          <fgColor rgb="FFA61C00"/>
          <bgColor rgb="FFA61C00"/>
        </patternFill>
      </fill>
    </dxf>
    <dxf>
      <fill>
        <patternFill patternType="solid">
          <fgColor rgb="FF38761D"/>
          <bgColor rgb="FF38761D"/>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rgb="FFFFFFFF"/>
      </font>
      <fill>
        <patternFill patternType="solid">
          <bgColor rgb="FFFF0000"/>
        </patternFill>
      </fill>
    </dxf>
    <dxf>
      <font>
        <color rgb="FF000000"/>
      </font>
      <fill>
        <patternFill patternType="solid">
          <bgColor rgb="FF00B050"/>
        </patternFill>
      </fill>
    </dxf>
    <dxf>
      <font>
        <color rgb="FF000000"/>
      </font>
      <fill>
        <patternFill patternType="solid">
          <bgColor rgb="FFFFFF00"/>
        </patternFill>
      </fill>
    </dxf>
    <dxf>
      <font>
        <color rgb="FFFFFFFF"/>
      </font>
      <fill>
        <patternFill patternType="solid">
          <bgColor rgb="FFFF0000"/>
        </patternFill>
      </fill>
    </dxf>
    <dxf>
      <font>
        <color rgb="FF000000"/>
      </font>
      <fill>
        <patternFill patternType="solid">
          <bgColor rgb="FFFFFF00"/>
        </patternFill>
      </fill>
    </dxf>
    <dxf>
      <font>
        <color rgb="FF000000"/>
      </font>
      <fill>
        <patternFill patternType="solid">
          <bgColor rgb="FF00B050"/>
        </patternFill>
      </fill>
    </dxf>
    <dxf>
      <font>
        <color rgb="FF000000"/>
      </font>
      <fill>
        <patternFill patternType="solid">
          <bgColor rgb="FFFFFF00"/>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rgb="FFFFFFFF"/>
      </font>
      <fill>
        <patternFill patternType="solid">
          <bgColor rgb="FFFF0000"/>
        </patternFill>
      </fill>
    </dxf>
    <dxf>
      <font>
        <color rgb="FF000000"/>
      </font>
      <fill>
        <patternFill patternType="solid">
          <bgColor rgb="FF00B050"/>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rgb="FF000000"/>
      </font>
      <fill>
        <patternFill patternType="solid">
          <bgColor rgb="FF00B050"/>
        </patternFill>
      </fill>
    </dxf>
    <dxf>
      <font>
        <color rgb="FF000000"/>
      </font>
      <fill>
        <patternFill patternType="solid">
          <bgColor rgb="FFFFFF00"/>
        </patternFill>
      </fill>
    </dxf>
    <dxf>
      <font>
        <color rgb="FFFFFFFF"/>
      </font>
      <fill>
        <patternFill patternType="solid">
          <bgColor rgb="FFFF0000"/>
        </patternFill>
      </fill>
    </dxf>
    <dxf>
      <font>
        <color rgb="FFFFFFFF"/>
      </font>
      <fill>
        <patternFill patternType="solid">
          <bgColor rgb="FFFF0000"/>
        </patternFill>
      </fill>
    </dxf>
    <dxf>
      <font>
        <color rgb="FF000000"/>
      </font>
      <fill>
        <patternFill patternType="solid">
          <bgColor rgb="FF00B050"/>
        </patternFill>
      </fill>
    </dxf>
    <dxf>
      <font>
        <color rgb="FF000000"/>
      </font>
      <fill>
        <patternFill patternType="solid">
          <bgColor rgb="FFFFFF00"/>
        </patternFill>
      </fill>
    </dxf>
    <dxf>
      <font>
        <color rgb="FF000000"/>
      </font>
      <fill>
        <patternFill patternType="solid">
          <bgColor rgb="FFFFFF00"/>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rgb="FFFFFFFF"/>
      </font>
      <fill>
        <patternFill patternType="solid">
          <bgColor rgb="FFFF0000"/>
        </patternFill>
      </fill>
    </dxf>
    <dxf>
      <font>
        <color rgb="FF000000"/>
      </font>
      <fill>
        <patternFill patternType="solid">
          <bgColor rgb="FF00B050"/>
        </patternFill>
      </fill>
    </dxf>
    <dxf>
      <font>
        <color rgb="FF000000"/>
      </font>
      <fill>
        <patternFill patternType="solid">
          <bgColor rgb="FF00B050"/>
        </patternFill>
      </fill>
    </dxf>
    <dxf>
      <font>
        <color rgb="FF000000"/>
      </font>
      <fill>
        <patternFill patternType="solid">
          <bgColor rgb="FFFFFF00"/>
        </patternFill>
      </fill>
    </dxf>
    <dxf>
      <font>
        <color rgb="FFFFFFFF"/>
      </font>
      <fill>
        <patternFill patternType="solid">
          <bgColor rgb="FFFF0000"/>
        </patternFill>
      </fill>
    </dxf>
    <dxf>
      <fill>
        <patternFill patternType="solid">
          <fgColor rgb="FF999999"/>
          <bgColor rgb="FF999999"/>
        </patternFill>
      </fill>
    </dxf>
    <dxf>
      <fill>
        <patternFill patternType="solid">
          <fgColor rgb="FFA61C00"/>
          <bgColor rgb="FFA61C00"/>
        </patternFill>
      </fill>
    </dxf>
    <dxf>
      <fill>
        <patternFill patternType="solid">
          <fgColor rgb="FF38761D"/>
          <bgColor rgb="FF38761D"/>
        </patternFill>
      </fill>
    </dxf>
    <dxf>
      <fill>
        <patternFill patternType="solid">
          <fgColor rgb="FF999999"/>
          <bgColor rgb="FF999999"/>
        </patternFill>
      </fill>
    </dxf>
    <dxf>
      <fill>
        <patternFill patternType="solid">
          <fgColor rgb="FFA61C00"/>
          <bgColor rgb="FFA61C00"/>
        </patternFill>
      </fill>
    </dxf>
    <dxf>
      <fill>
        <patternFill patternType="solid">
          <fgColor rgb="FF38761D"/>
          <bgColor rgb="FF38761D"/>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
      <font>
        <color rgb="FF000000"/>
      </font>
      <fill>
        <patternFill patternType="solid">
          <bgColor theme="6" tint="0.5999938962981048"/>
        </patternFill>
      </fill>
    </dxf>
    <dxf>
      <font>
        <color rgb="FF000000"/>
      </font>
      <fill>
        <patternFill patternType="solid">
          <bgColor rgb="FF00B050"/>
        </patternFill>
      </fill>
    </dxf>
    <dxf>
      <font>
        <color rgb="FFFFFFFF"/>
      </font>
      <fill>
        <patternFill patternType="solid">
          <bgColor rgb="FFFF0000"/>
        </patternFill>
      </fill>
    </dxf>
    <dxf>
      <font>
        <color rgb="FF000000"/>
      </font>
      <fill>
        <patternFill patternType="solid">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twoCellAnchor editAs="oneCell">
    <from>
      <col>12</col>
      <colOff>0</colOff>
      <row>67</row>
      <rowOff>0</rowOff>
    </from>
    <to>
      <col>17</col>
      <colOff>123825</colOff>
      <row>70</row>
      <rowOff>257175</rowOff>
    </to>
    <pic>
      <nvPicPr>
        <cNvPr id="2" name="Ảnh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878800" y="49787175"/>
          <a:ext cx="4572000" cy="2190750"/>
        </a:xfrm>
        <a:prstGeom xmlns:a="http://schemas.openxmlformats.org/drawingml/2006/main" prst="rect">
          <avLst/>
        </a:prstGeom>
        <a:ln xmlns:a="http://schemas.openxmlformats.org/drawingml/2006/main">
          <a:prstDash val="solid"/>
        </a:ln>
      </spPr>
    </pic>
    <clientData/>
  </twoCellAnchor>
  <twoCellAnchor editAs="oneCell">
    <from>
      <col>13</col>
      <colOff>66675</colOff>
      <row>74</row>
      <rowOff>723900</rowOff>
    </from>
    <to>
      <col>20</col>
      <colOff>371475</colOff>
      <row>76</row>
      <rowOff>38100</rowOff>
    </to>
    <pic>
      <nvPicPr>
        <cNvPr id="9"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8746450" y="51435000"/>
          <a:ext cx="4572000" cy="666750"/>
        </a:xfrm>
        <a:prstGeom xmlns:a="http://schemas.openxmlformats.org/drawingml/2006/main" prst="rect">
          <avLst/>
        </a:prstGeom>
        <a:ln xmlns:a="http://schemas.openxmlformats.org/drawingml/2006/main">
          <a:prstDash val="solid"/>
        </a:ln>
      </spPr>
    </pic>
    <clientData/>
  </twoCellAnchor>
  <twoCellAnchor editAs="oneCell">
    <from>
      <col>13</col>
      <colOff>352425</colOff>
      <row>74</row>
      <rowOff>161925</rowOff>
    </from>
    <to>
      <col>19</col>
      <colOff>95250</colOff>
      <row>74</row>
      <rowOff>628650</rowOff>
    </to>
    <pic>
      <nvPicPr>
        <cNvPr id="11"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9032200" y="50873025"/>
          <a:ext cx="3400425" cy="466725"/>
        </a:xfrm>
        <a:prstGeom xmlns:a="http://schemas.openxmlformats.org/drawingml/2006/main" prst="rect">
          <avLst/>
        </a:prstGeom>
        <a:ln xmlns:a="http://schemas.openxmlformats.org/drawingml/2006/main">
          <a:prstDash val="solid"/>
        </a:ln>
      </spPr>
    </pic>
    <clientData/>
  </twoCellAnchor>
  <twoCellAnchor editAs="oneCell">
    <from>
      <col>13</col>
      <colOff>390525</colOff>
      <row>42</row>
      <rowOff>295275</rowOff>
    </from>
    <to>
      <col>21</col>
      <colOff>85725</colOff>
      <row>46</row>
      <rowOff>342900</rowOff>
    </to>
    <pic>
      <nvPicPr>
        <cNvPr id="13"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9070300" y="29013150"/>
          <a:ext cx="4572000" cy="2352675"/>
        </a:xfrm>
        <a:prstGeom xmlns:a="http://schemas.openxmlformats.org/drawingml/2006/main" prst="rect">
          <avLst/>
        </a:prstGeom>
        <a:ln xmlns:a="http://schemas.openxmlformats.org/drawingml/2006/main">
          <a:prstDash val="solid"/>
        </a:ln>
      </spPr>
    </pic>
    <clientData/>
  </twoCellAnchor>
  <twoCellAnchor editAs="oneCell">
    <from>
      <col>13</col>
      <colOff>66675</colOff>
      <row>53</row>
      <rowOff>66675</rowOff>
    </from>
    <to>
      <col>20</col>
      <colOff>371475</colOff>
      <row>53</row>
      <rowOff>1028700</rowOff>
    </to>
    <pic>
      <nvPicPr>
        <cNvPr id="20"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8746450" y="36480750"/>
          <a:ext cx="4572000" cy="962025"/>
        </a:xfrm>
        <a:prstGeom xmlns:a="http://schemas.openxmlformats.org/drawingml/2006/main" prst="rect">
          <avLst/>
        </a:prstGeom>
        <a:ln xmlns:a="http://schemas.openxmlformats.org/drawingml/2006/main">
          <a:prstDash val="solid"/>
        </a:ln>
      </spPr>
    </pic>
    <clientData/>
  </twoCellAnchor>
  <twoCellAnchor editAs="oneCell">
    <from>
      <col>13</col>
      <colOff>57150</colOff>
      <row>52</row>
      <rowOff>800100</rowOff>
    </from>
    <to>
      <col>20</col>
      <colOff>361950</colOff>
      <row>53</row>
      <rowOff>171450</rowOff>
    </to>
    <pic>
      <nvPicPr>
        <cNvPr id="21"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8736925" y="36252150"/>
          <a:ext cx="4572000" cy="3333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orms/AllItems.aspx?csf=1&amp;web=1&amp;e=JbOV7v&amp;ovuser=77b77bf4%2D2a92%2D401c%2Da7ea%2Dbc2d78deaf64%2Choa%2Eht%40becamex%2Ecom%2Evn&amp;OR=Teams%2DHL&amp;CT=1729215533126&amp;clickparams=eyJBcHBOYW1lIjoiVGVhbXMtRGVza3RvcCIsIkFwcFZlcnNpb24iOiI0OS8yNDA5MDEwMTQyMyIsIkhhc0ZlZGVyYXRlZFVzZXIiOmZhbHNlfQ%3D%3D&amp;CID=3ef75aa1%2D10a6%2D3000%2Df4ee%2D4452dadeff01&amp;cidOR=SPO&amp;FolderCTID=0x012000DCE9E1F91F8E994B8B88EFC3AE277120&amp;id=%2Fsites%2FBecamexAIPlatform%2FShared%20Documents%2FGeneral%2F1%5FDocument%2F1%2E5%5FT%E1%BA%A5t%20t%E1%BA%A7n%20t%E1%BA%ADt%20v%E1%BB%87%20h%E1%BB%87%20BecaAI%20Portal%20%28BecaiVMS%29" TargetMode="External" Id="rId1"/></Relationships>
</file>

<file path=xl/worksheets/_rels/sheet3.xml.rels><Relationships xmlns="http://schemas.openxmlformats.org/package/2006/relationships"><Relationship Type="http://schemas.openxmlformats.org/officeDocument/2006/relationships/hyperlink" Target="../../../Forms/AllItems.aspx?csf=1&amp;web=1&amp;e=JbOV7v&amp;ovuser=77b77bf4%2D2a92%2D401c%2Da7ea%2Dbc2d78deaf64%2Choa%2Eht%40becamex%2Ecom%2Evn&amp;OR=Teams%2DHL&amp;CT=1729215533126&amp;clickparams=eyJBcHBOYW1lIjoiVGVhbXMtRGVza3RvcCIsIkFwcFZlcnNpb24iOiI0OS8yNDA5MDEwMTQyMyIsIkhhc0ZlZGVyYXRlZFVzZXIiOmZhbHNlfQ%3D%3D&amp;CID=3ef75aa1%2D10a6%2D3000%2Df4ee%2D4452dadeff01&amp;cidOR=SPO&amp;FolderCTID=0x012000DCE9E1F91F8E994B8B88EFC3AE277120&amp;id=%2Fsites%2FBecamexAIPlatform%2FShared%20Documents%2FGeneral%2F1%5FDocument%2F1%2E5%5FT%E1%BA%A5t%20t%E1%BA%A7n%20t%E1%BA%ADt%20v%E1%BB%87%20h%E1%BB%87%20BecaAI%20Portal%20%28BecaiVMS%29" TargetMode="External" Id="rId1"/></Relationships>
</file>

<file path=xl/worksheets/_rels/sheet4.xml.rels><Relationships xmlns="http://schemas.openxmlformats.org/package/2006/relationships"><Relationship Type="http://schemas.openxmlformats.org/officeDocument/2006/relationships/hyperlink" Target="../../../Forms/AllItems.aspx?csf=1&amp;web=1&amp;e=JbOV7v&amp;ovuser=77b77bf4%2D2a92%2D401c%2Da7ea%2Dbc2d78deaf64%2Choa%2Eht%40becamex%2Ecom%2Evn&amp;OR=Teams%2DHL&amp;CT=1729215533126&amp;clickparams=eyJBcHBOYW1lIjoiVGVhbXMtRGVza3RvcCIsIkFwcFZlcnNpb24iOiI0OS8yNDA5MDEwMTQyMyIsIkhhc0ZlZGVyYXRlZFVzZXIiOmZhbHNlfQ%3D%3D&amp;CID=3ef75aa1%2D10a6%2D3000%2Df4ee%2D4452dadeff01&amp;cidOR=SPO&amp;FolderCTID=0x012000DCE9E1F91F8E994B8B88EFC3AE277120&amp;id=%2Fsites%2FBecamexAIPlatform%2FShared%20Documents%2FGeneral%2F1%5FDocument%2F1%2E5%5FT%E1%BA%A5t%20t%E1%BA%A7n%20t%E1%BA%ADt%20v%E1%BB%87%20h%E1%BB%87%20BecaAI%20Portal%20%28BecaiVMS%29"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hyperlink" Target="../../../Forms/AllItems.aspx?csf=1&amp;web=1&amp;e=JbOV7v&amp;ovuser=77b77bf4%2D2a92%2D401c%2Da7ea%2Dbc2d78deaf64%2Choa%2Eht%40becamex%2Ecom%2Evn&amp;OR=Teams%2DHL&amp;CT=1729215533126&amp;clickparams=eyJBcHBOYW1lIjoiVGVhbXMtRGVza3RvcCIsIkFwcFZlcnNpb24iOiI0OS8yNDA5MDEwMTQyMyIsIkhhc0ZlZGVyYXRlZFVzZXIiOmZhbHNlfQ%3D%3D&amp;CID=3ef75aa1%2D10a6%2D3000%2Df4ee%2D4452dadeff01&amp;cidOR=SPO&amp;FolderCTID=0x012000DCE9E1F91F8E994B8B88EFC3AE277120&amp;id=%2Fsites%2FBecamexAIPlatform%2FShared%20Documents%2FGeneral%2F1%5FDocument%2F1%2E5%5FT%E1%BA%A5t%20t%E1%BA%A7n%20t%E1%BA%ADt%20v%E1%BB%87%20h%E1%BB%87%20BecaAI%20Portal%20%28BecaiVMS%29" TargetMode="External" Id="rId1"/></Relationships>
</file>

<file path=xl/worksheets/sheet1.xml><?xml version="1.0" encoding="utf-8"?>
<worksheet xmlns="http://schemas.openxmlformats.org/spreadsheetml/2006/main">
  <sheetPr>
    <outlinePr summaryBelow="1" summaryRight="1"/>
    <pageSetUpPr/>
  </sheetPr>
  <dimension ref="A1:L98"/>
  <sheetViews>
    <sheetView topLeftCell="A22" workbookViewId="0">
      <selection activeCell="K9" sqref="K9"/>
    </sheetView>
  </sheetViews>
  <sheetFormatPr baseColWidth="8" defaultColWidth="8.88671875" defaultRowHeight="13.2"/>
  <cols>
    <col width="25.33203125" customWidth="1" min="1" max="12"/>
  </cols>
  <sheetData>
    <row r="1" ht="64.5" customHeight="1">
      <c r="A1" s="1" t="inlineStr">
        <is>
          <t>Test Scenario ID
 (ID Kịch bản kiểm thử)</t>
        </is>
      </c>
      <c r="B1" s="2" t="inlineStr">
        <is>
          <t>Test Scenario Description
 (Mô tả kịch bản kiểm thử)</t>
        </is>
      </c>
      <c r="C1" s="1" t="inlineStr">
        <is>
          <t>Test Case ID
 (ID trường hợp kiểm thử)</t>
        </is>
      </c>
      <c r="D1" s="2" t="inlineStr">
        <is>
          <t>Test Case Description
 (Mô tả trường hợp kiểm thử)</t>
        </is>
      </c>
      <c r="E1" s="2" t="inlineStr">
        <is>
          <t>Pre-Conditions
 (Điều kiện tiên quyết</t>
        </is>
      </c>
      <c r="F1" s="2" t="inlineStr">
        <is>
          <t>Test Step
 (Các bước thực hiện)</t>
        </is>
      </c>
      <c r="G1" s="3" t="inlineStr">
        <is>
          <t>Expected Response
 (Kết quả mong đợi)</t>
        </is>
      </c>
      <c r="H1" s="1" t="inlineStr">
        <is>
          <t>Actual Response
 (Kết quả thực tế)</t>
        </is>
      </c>
      <c r="I1" s="2" t="inlineStr">
        <is>
          <t>Status
 (Trạng thái)</t>
        </is>
      </c>
      <c r="J1" s="3" t="inlineStr">
        <is>
          <t>Comment
 (Chú thích)</t>
        </is>
      </c>
      <c r="K1" s="6" t="n"/>
      <c r="L1" s="6" t="n"/>
    </row>
    <row r="2" ht="64.5" customHeight="1">
      <c r="A2" s="5" t="inlineStr">
        <is>
          <t>IAS-01</t>
        </is>
      </c>
      <c r="B2" s="5" t="inlineStr">
        <is>
          <t>Kiểm tra đường dẫn trang Định danh và an ninh</t>
        </is>
      </c>
      <c r="C2" s="5" t="inlineStr">
        <is>
          <t>IAS-01-001</t>
        </is>
      </c>
      <c r="D2" s="5" t="inlineStr">
        <is>
          <t>Kiểm tra URL trang Định danh và an ninh</t>
        </is>
      </c>
      <c r="E2" s="5" t="n"/>
      <c r="F2" s="5" t="inlineStr">
        <is>
          <t>1) Mở hệ thống trên trình duyệt Chrome/Safari/Edge/Firefox. 2) Truy cập trang Định danh và an ninh. 3) Kiểm tra URL.</t>
        </is>
      </c>
      <c r="G2" s="5" t="n"/>
      <c r="H2" s="5" t="inlineStr">
        <is>
          <t>Hiển thị đúng đường dẫn: /video-analytic/ias. URL không chứa ký tự thừa, không bị redirect sai.</t>
        </is>
      </c>
      <c r="I2" s="8" t="inlineStr">
        <is>
          <t>PASS</t>
        </is>
      </c>
      <c r="J2" s="5" t="inlineStr">
        <is>
          <t>Feature</t>
        </is>
      </c>
    </row>
    <row r="3" ht="79.2" customHeight="1">
      <c r="A3" s="5" t="inlineStr">
        <is>
          <t>IAS-02</t>
        </is>
      </c>
      <c r="B3" s="94" t="inlineStr">
        <is>
          <t>Kiểm tra Header</t>
        </is>
      </c>
      <c r="C3" s="5" t="inlineStr">
        <is>
          <t>IAS-02-001</t>
        </is>
      </c>
      <c r="D3" s="5" t="inlineStr">
        <is>
          <t>Hiển thị breadcrumb đúng</t>
        </is>
      </c>
      <c r="E3" s="5" t="inlineStr">
        <is>
          <t>Người dùng đã đăng nhập, ở trang Định danh và an ninh</t>
        </is>
      </c>
      <c r="F3" s="5" t="inlineStr">
        <is>
          <t>1) Quan sát breadcrumb phía trên.</t>
        </is>
      </c>
      <c r="G3" s="5" t="n"/>
      <c r="H3" s="5" t="inlineStr">
        <is>
          <t>Breadcrumb hiển thị: "Phân tích video thông minh / Định danh và an ninh". Có icon tương ứng. Click "Phân tích video thông minh" quay về trang cha.</t>
        </is>
      </c>
      <c r="I3" s="5" t="n"/>
      <c r="J3" s="5" t="inlineStr">
        <is>
          <t>UI</t>
        </is>
      </c>
    </row>
    <row r="4" ht="66" customHeight="1">
      <c r="A4" s="5" t="inlineStr">
        <is>
          <t>IAS-02</t>
        </is>
      </c>
      <c r="C4" s="5" t="inlineStr">
        <is>
          <t>IAS-02-002</t>
        </is>
      </c>
      <c r="D4" s="5" t="inlineStr">
        <is>
          <t>Hiển thị icon ngôi sao (bookmark/favorite)</t>
        </is>
      </c>
      <c r="E4" s="5" t="inlineStr">
        <is>
          <t>Người dùng đã đăng nhập</t>
        </is>
      </c>
      <c r="F4" s="5" t="inlineStr">
        <is>
          <t>1) Quan sát icon ngôi sao góc phải header.</t>
        </is>
      </c>
      <c r="G4" s="5" t="n"/>
      <c r="H4" s="5" t="inlineStr">
        <is>
          <t>Icon ngôi sao hiển thị đúng vị trí, màu đỏ/vàng khi đã bookmark, xám khi chưa. Click toggle trạng thái bookmark.</t>
        </is>
      </c>
      <c r="I4" s="5" t="n"/>
      <c r="J4" s="5" t="inlineStr">
        <is>
          <t>UI</t>
        </is>
      </c>
    </row>
    <row r="5" ht="66" customHeight="1">
      <c r="A5" s="5" t="inlineStr">
        <is>
          <t>IAS-02</t>
        </is>
      </c>
      <c r="C5" s="5" t="inlineStr">
        <is>
          <t>IAS-02-003</t>
        </is>
      </c>
      <c r="D5" s="5" t="inlineStr">
        <is>
          <t>Hiển thị icon thông báo (chuông)</t>
        </is>
      </c>
      <c r="E5" s="5" t="inlineStr">
        <is>
          <t>Người dùng đã đăng nhập</t>
        </is>
      </c>
      <c r="F5" s="5" t="inlineStr">
        <is>
          <t>1) Quan sát icon chuông.</t>
        </is>
      </c>
      <c r="G5" s="5" t="n"/>
      <c r="H5" s="5" t="inlineStr">
        <is>
          <t>Icon chuông hiển thị đúng vị trí. Badge số lượng thông báo chưa đọc (nếu có). Click mở dropdown thông báo.</t>
        </is>
      </c>
      <c r="I5" s="5" t="n"/>
      <c r="J5" s="5" t="inlineStr">
        <is>
          <t>UI</t>
        </is>
      </c>
    </row>
    <row r="6" ht="39.6" customHeight="1">
      <c r="A6" s="5" t="inlineStr">
        <is>
          <t>IAS-02</t>
        </is>
      </c>
      <c r="C6" s="5" t="inlineStr">
        <is>
          <t>IAS-02-004</t>
        </is>
      </c>
      <c r="D6" s="5" t="inlineStr">
        <is>
          <t>Hiển thị icon cài đặt (gear)</t>
        </is>
      </c>
      <c r="E6" s="5" t="inlineStr">
        <is>
          <t>Người dùng đã đăng nhập</t>
        </is>
      </c>
      <c r="F6" s="5" t="inlineStr">
        <is>
          <t>1) Quan sát icon gear.</t>
        </is>
      </c>
      <c r="G6" s="5" t="n"/>
      <c r="H6" s="5" t="inlineStr">
        <is>
          <t>Icon ⚙ hiển thị đúng vị trí. Click mở trang/popup cài đặt.</t>
        </is>
      </c>
      <c r="I6" s="5" t="n"/>
      <c r="J6" s="5" t="inlineStr">
        <is>
          <t>UI</t>
        </is>
      </c>
    </row>
    <row r="7" ht="39.6" customHeight="1">
      <c r="A7" s="5" t="inlineStr">
        <is>
          <t>IAS-02</t>
        </is>
      </c>
      <c r="C7" s="5" t="inlineStr">
        <is>
          <t>IAS-02-005</t>
        </is>
      </c>
      <c r="D7" s="5" t="inlineStr">
        <is>
          <t>Hiển thị icon download</t>
        </is>
      </c>
      <c r="E7" s="5" t="inlineStr">
        <is>
          <t>Người dùng đã đăng nhập</t>
        </is>
      </c>
      <c r="F7" s="5" t="inlineStr">
        <is>
          <t>1) Quan sát icon download.</t>
        </is>
      </c>
      <c r="G7" s="5" t="n"/>
      <c r="H7" s="5" t="inlineStr">
        <is>
          <t>Icon download hiển thị đúng. Click thực hiện chức năng tải (nếu có).</t>
        </is>
      </c>
      <c r="I7" s="5" t="n"/>
      <c r="J7" s="5" t="inlineStr">
        <is>
          <t>UI</t>
        </is>
      </c>
    </row>
    <row r="8" ht="52.8" customHeight="1">
      <c r="A8" s="5" t="inlineStr">
        <is>
          <t>IAS-02</t>
        </is>
      </c>
      <c r="C8" s="5" t="inlineStr">
        <is>
          <t>IAS-02-006</t>
        </is>
      </c>
      <c r="D8" s="5" t="inlineStr">
        <is>
          <t>Hiển thị avatar và tên user</t>
        </is>
      </c>
      <c r="E8" s="5" t="inlineStr">
        <is>
          <t>Người dùng đăng nhập bằng tài khoản "becamex"</t>
        </is>
      </c>
      <c r="F8" s="5" t="inlineStr">
        <is>
          <t>1) Quan sát góc phải cùng header.</t>
        </is>
      </c>
      <c r="G8" s="5" t="n"/>
      <c r="H8" s="5" t="inlineStr">
        <is>
          <t>Hiển thị avatar (chữ B) và tên "becamex". Click mở menu user (profile, đăng xuất...).</t>
        </is>
      </c>
      <c r="I8" s="5" t="n"/>
      <c r="J8" s="5" t="inlineStr">
        <is>
          <t>UI</t>
        </is>
      </c>
    </row>
    <row r="9" ht="184.8" customHeight="1">
      <c r="A9" s="5" t="inlineStr">
        <is>
          <t>IAS-03</t>
        </is>
      </c>
      <c r="B9" s="94" t="inlineStr">
        <is>
          <t>Kiểm tra Sidebar Menu</t>
        </is>
      </c>
      <c r="C9" s="5" t="inlineStr">
        <is>
          <t>IAS-03-001</t>
        </is>
      </c>
      <c r="D9" s="5" t="inlineStr">
        <is>
          <t>Hiển thị đầy đủ nhóm menu</t>
        </is>
      </c>
      <c r="E9" s="5" t="inlineStr">
        <is>
          <t>Người dùng đã đăng nhập với quyền đầy đủ</t>
        </is>
      </c>
      <c r="F9" s="5" t="inlineStr">
        <is>
          <t>1) Quan sát sidebar bên trái.</t>
        </is>
      </c>
      <c r="G9" s="5" t="n"/>
      <c r="H9" s="5" t="inlineStr">
        <is>
          <t>Hiển thị 3 nhóm: "VẬN HÀNH VÀ GIÁM SÁT" (Dashboard, Xem camera, Bản đồ, Mặt cắt tầng), "PHÂN TÍCH VIDEO THÔNG MINH" (Định danh và an ninh, Giao thông và phương tiện, An toàn và sự cố, Hành vi và thống kê, Truy vấn sự kiện), "CẤU HÌNH HỆ THỐNG" (Cấu hình và thiết bị, Nhóm và phân quyền, Quản lý người dùng, Quản lý phiên, Xuất MQTT).</t>
        </is>
      </c>
      <c r="I9" s="5" t="n"/>
      <c r="J9" s="5" t="inlineStr">
        <is>
          <t>UI</t>
        </is>
      </c>
    </row>
    <row r="10" ht="52.8" customHeight="1">
      <c r="A10" s="5" t="inlineStr">
        <is>
          <t>IAS-03</t>
        </is>
      </c>
      <c r="C10" s="5" t="inlineStr">
        <is>
          <t>IAS-03-002</t>
        </is>
      </c>
      <c r="D10" s="5" t="inlineStr">
        <is>
          <t>Menu "Định danh và an ninh" được highlight</t>
        </is>
      </c>
      <c r="E10" s="5" t="inlineStr">
        <is>
          <t>Người dùng đang ở trang Định danh và an ninh</t>
        </is>
      </c>
      <c r="F10" s="5" t="inlineStr">
        <is>
          <t>1) Quan sát menu sidebar.</t>
        </is>
      </c>
      <c r="G10" s="5" t="n"/>
      <c r="H10" s="5" t="inlineStr">
        <is>
          <t>Menu "Định danh và an ninh" được highlight màu đỏ/cam, phân biệt trang hiện tại.</t>
        </is>
      </c>
      <c r="I10" s="5" t="n"/>
      <c r="J10" s="5" t="inlineStr">
        <is>
          <t>UI</t>
        </is>
      </c>
    </row>
    <row r="11" ht="52.8" customHeight="1">
      <c r="A11" s="5" t="inlineStr">
        <is>
          <t>IAS-03</t>
        </is>
      </c>
      <c r="C11" s="5" t="inlineStr">
        <is>
          <t>IAS-03-003</t>
        </is>
      </c>
      <c r="D11" s="5" t="inlineStr">
        <is>
          <t>Click chuyển trang từ sidebar</t>
        </is>
      </c>
      <c r="E11" s="5" t="inlineStr">
        <is>
          <t>Người dùng đang ở trang Định danh và an ninh</t>
        </is>
      </c>
      <c r="F11" s="5" t="inlineStr">
        <is>
          <t>1) Click menu "Dashboard". 2) Quan sát.</t>
        </is>
      </c>
      <c r="G11" s="5" t="n"/>
      <c r="H11" s="5" t="inlineStr">
        <is>
          <t>Chuyển đúng sang trang Dashboard. Menu Dashboard highlight. Không giật/lag.</t>
        </is>
      </c>
      <c r="I11" s="5" t="n"/>
      <c r="J11" s="5" t="inlineStr">
        <is>
          <t>Feature</t>
        </is>
      </c>
    </row>
    <row r="12" ht="52.8" customHeight="1">
      <c r="A12" s="5" t="inlineStr">
        <is>
          <t>IAS-03</t>
        </is>
      </c>
      <c r="C12" s="5" t="inlineStr">
        <is>
          <t>IAS-03-004</t>
        </is>
      </c>
      <c r="D12" s="5" t="inlineStr">
        <is>
          <t>Click các menu PHÂN TÍCH VIDEO THÔNG MINH</t>
        </is>
      </c>
      <c r="E12" s="5" t="inlineStr">
        <is>
          <t>Người dùng đã đăng nhập</t>
        </is>
      </c>
      <c r="F12" s="5" t="inlineStr">
        <is>
          <t>1) Lần lượt click: Giao thông và phương tiện, An toàn và sự cố, Hành vi và thống kê, Truy vấn sự kiện.</t>
        </is>
      </c>
      <c r="G12" s="5" t="n"/>
      <c r="H12" s="5" t="inlineStr">
        <is>
          <t>Mỗi menu chuyển đúng trang tương ứng. Menu được highlight đúng.</t>
        </is>
      </c>
      <c r="I12" s="5" t="n"/>
      <c r="J12" s="5" t="inlineStr">
        <is>
          <t>Feature</t>
        </is>
      </c>
    </row>
    <row r="13" ht="26.4" customHeight="1">
      <c r="A13" s="5" t="inlineStr">
        <is>
          <t>IAS-03</t>
        </is>
      </c>
      <c r="C13" s="5" t="inlineStr">
        <is>
          <t>IAS-03-005</t>
        </is>
      </c>
      <c r="D13" s="5" t="inlineStr">
        <is>
          <t>Hiển thị phiên bản ứng dụng</t>
        </is>
      </c>
      <c r="E13" s="5" t="inlineStr">
        <is>
          <t>Người dùng đã đăng nhập</t>
        </is>
      </c>
      <c r="F13" s="5" t="inlineStr">
        <is>
          <t>1) Quan sát cuối sidebar.</t>
        </is>
      </c>
      <c r="G13" s="5" t="n"/>
      <c r="H13" s="5" t="inlineStr">
        <is>
          <t>Hiển thị "Phiên bản: 2.0.0" (hoặc phiên bản mới nhất).</t>
        </is>
      </c>
      <c r="I13" s="5" t="n"/>
      <c r="J13" s="5" t="inlineStr">
        <is>
          <t>UI</t>
        </is>
      </c>
    </row>
    <row r="14" ht="52.8" customHeight="1">
      <c r="A14" s="5" t="inlineStr">
        <is>
          <t>IAS-04</t>
        </is>
      </c>
      <c r="B14" s="5" t="inlineStr">
        <is>
          <t>Kiểm tra Tab Navigation</t>
        </is>
      </c>
      <c r="C14" s="5" t="inlineStr">
        <is>
          <t>IAS-04-001</t>
        </is>
      </c>
      <c r="D14" s="5" t="inlineStr">
        <is>
          <t>Hiển thị đầy đủ 5 tab</t>
        </is>
      </c>
      <c r="E14" s="5" t="inlineStr">
        <is>
          <t>Người dùng ở trang Định danh và an ninh</t>
        </is>
      </c>
      <c r="F14" s="5" t="inlineStr">
        <is>
          <t>1) Quan sát tab navigation.</t>
        </is>
      </c>
      <c r="G14" s="5" t="n"/>
      <c r="H14" s="5" t="inlineStr">
        <is>
          <t>Hiển thị 5 tab: "Giám sát", "Sự kiện", "Danh sách theo dõi", "Xác thực", "Thống kê". Font, size, vị trí đúng Figma.</t>
        </is>
      </c>
      <c r="I14" s="5" t="n"/>
      <c r="J14" s="5" t="inlineStr">
        <is>
          <t>UI</t>
        </is>
      </c>
    </row>
    <row r="15" ht="39.6" customHeight="1">
      <c r="A15" s="5" t="inlineStr">
        <is>
          <t>IAS-04</t>
        </is>
      </c>
      <c r="B15" s="5" t="inlineStr">
        <is>
          <t>Kiểm tra Tab Navigation</t>
        </is>
      </c>
      <c r="C15" s="5" t="inlineStr">
        <is>
          <t>IAS-04-002</t>
        </is>
      </c>
      <c r="D15" s="5" t="inlineStr">
        <is>
          <t>Tab "Giám sát" được active mặc định</t>
        </is>
      </c>
      <c r="E15" s="5" t="inlineStr">
        <is>
          <t>Người dùng mới vào trang Định danh và an ninh</t>
        </is>
      </c>
      <c r="F15" s="5" t="inlineStr">
        <is>
          <t>1) Quan sát tab.</t>
        </is>
      </c>
      <c r="G15" s="5" t="n"/>
      <c r="H15" s="5" t="inlineStr">
        <is>
          <t>Tab "Giám sát" có underline đỏ/cam, text đậm, phân biệt đang active.</t>
        </is>
      </c>
      <c r="I15" s="5" t="n"/>
      <c r="J15" s="5" t="inlineStr">
        <is>
          <t>UI</t>
        </is>
      </c>
    </row>
    <row r="16" ht="66" customHeight="1">
      <c r="A16" s="5" t="inlineStr">
        <is>
          <t>IAS-04</t>
        </is>
      </c>
      <c r="B16" s="5" t="inlineStr">
        <is>
          <t>Kiểm tra Tab Navigation</t>
        </is>
      </c>
      <c r="C16" s="5" t="inlineStr">
        <is>
          <t>IAS-04-003</t>
        </is>
      </c>
      <c r="D16" s="5" t="inlineStr">
        <is>
          <t>Click chuyển tab "Sự kiện"</t>
        </is>
      </c>
      <c r="E16" s="5" t="inlineStr">
        <is>
          <t>Đang ở tab Giám sát</t>
        </is>
      </c>
      <c r="F16" s="5" t="inlineStr">
        <is>
          <t>1) Click tab "Sự kiện".</t>
        </is>
      </c>
      <c r="G16" s="5" t="n"/>
      <c r="H16" s="5" t="inlineStr">
        <is>
          <t>Chuyển sang nội dung tab Sự kiện. Tab "Sự kiện" highlight, "Giám sát" bỏ highlight. Dữ liệu load đúng. Không giật/lag.</t>
        </is>
      </c>
      <c r="I16" s="5" t="n"/>
      <c r="J16" s="5" t="inlineStr">
        <is>
          <t>Feature</t>
        </is>
      </c>
    </row>
    <row r="17" ht="39.6" customHeight="1">
      <c r="A17" s="5" t="inlineStr">
        <is>
          <t>IAS-04</t>
        </is>
      </c>
      <c r="B17" s="5" t="inlineStr">
        <is>
          <t>Kiểm tra Tab Navigation</t>
        </is>
      </c>
      <c r="C17" s="5" t="inlineStr">
        <is>
          <t>IAS-04-004</t>
        </is>
      </c>
      <c r="D17" s="5" t="inlineStr">
        <is>
          <t>Click chuyển tab "Danh sách theo dõi"</t>
        </is>
      </c>
      <c r="E17" s="5" t="inlineStr">
        <is>
          <t>Đang ở tab Giám sát</t>
        </is>
      </c>
      <c r="F17" s="5" t="inlineStr">
        <is>
          <t>1) Click tab "Danh sách theo dõi".</t>
        </is>
      </c>
      <c r="G17" s="5" t="n"/>
      <c r="H17" s="5" t="inlineStr">
        <is>
          <t>Chuyển sang nội dung Danh sách theo dõi. Tab highlight đúng.</t>
        </is>
      </c>
      <c r="I17" s="5" t="n"/>
      <c r="J17" s="5" t="inlineStr">
        <is>
          <t>Feature</t>
        </is>
      </c>
    </row>
    <row r="18" ht="26.4" customHeight="1">
      <c r="A18" s="5" t="inlineStr">
        <is>
          <t>IAS-04</t>
        </is>
      </c>
      <c r="B18" s="5" t="inlineStr">
        <is>
          <t>Kiểm tra Tab Navigation</t>
        </is>
      </c>
      <c r="C18" s="5" t="inlineStr">
        <is>
          <t>IAS-04-005</t>
        </is>
      </c>
      <c r="D18" s="5" t="inlineStr">
        <is>
          <t>Click chuyển tab "Xác thực"</t>
        </is>
      </c>
      <c r="E18" s="5" t="inlineStr">
        <is>
          <t>Đang ở tab Giám sát</t>
        </is>
      </c>
      <c r="F18" s="5" t="inlineStr">
        <is>
          <t>1) Click tab "Xác thực".</t>
        </is>
      </c>
      <c r="G18" s="5" t="n"/>
      <c r="H18" s="5" t="inlineStr">
        <is>
          <t>Chuyển sang nội dung Xác thực. Tab highlight đúng.</t>
        </is>
      </c>
      <c r="I18" s="5" t="n"/>
      <c r="J18" s="5" t="inlineStr">
        <is>
          <t>Feature</t>
        </is>
      </c>
    </row>
    <row r="19" ht="26.4" customHeight="1">
      <c r="A19" s="5" t="inlineStr">
        <is>
          <t>IAS-04</t>
        </is>
      </c>
      <c r="B19" s="5" t="inlineStr">
        <is>
          <t>Kiểm tra Tab Navigation</t>
        </is>
      </c>
      <c r="C19" s="5" t="inlineStr">
        <is>
          <t>IAS-04-006</t>
        </is>
      </c>
      <c r="D19" s="5" t="inlineStr">
        <is>
          <t>Click chuyển tab "Thống kê"</t>
        </is>
      </c>
      <c r="E19" s="5" t="inlineStr">
        <is>
          <t>Đang ở tab Giám sát</t>
        </is>
      </c>
      <c r="F19" s="5" t="inlineStr">
        <is>
          <t>1) Click tab "Thống kê".</t>
        </is>
      </c>
      <c r="G19" s="5" t="n"/>
      <c r="H19" s="5" t="inlineStr">
        <is>
          <t>Chuyển sang nội dung Thống kê. Tab highlight đúng.</t>
        </is>
      </c>
      <c r="I19" s="5" t="n"/>
      <c r="J19" s="5" t="inlineStr">
        <is>
          <t>Feature</t>
        </is>
      </c>
    </row>
    <row r="20" ht="66" customHeight="1">
      <c r="A20" s="5" t="inlineStr">
        <is>
          <t>IAS-04</t>
        </is>
      </c>
      <c r="B20" s="5" t="inlineStr">
        <is>
          <t>Kiểm tra Tab Navigation</t>
        </is>
      </c>
      <c r="C20" s="5" t="inlineStr">
        <is>
          <t>IAS-04-007</t>
        </is>
      </c>
      <c r="D20" s="5" t="inlineStr">
        <is>
          <t>Chuyển tab nhanh liên tiếp</t>
        </is>
      </c>
      <c r="E20" s="5" t="inlineStr">
        <is>
          <t>Đang ở trang Định danh và an ninh</t>
        </is>
      </c>
      <c r="F20" s="5" t="inlineStr">
        <is>
          <t>1) Click nhanh liên tiếp: Giám sát → Sự kiện → Danh sách theo dõi → Xác thực → Thống kê → Giám sát.</t>
        </is>
      </c>
      <c r="G20" s="5" t="n"/>
      <c r="H20" s="5" t="inlineStr">
        <is>
          <t>Tab cuối cùng được chọn hiển thị đúng nội dung. Không lỗi, không giật/lag. Tab highlight đúng.</t>
        </is>
      </c>
      <c r="I20" s="5" t="n"/>
      <c r="J20" s="5" t="inlineStr">
        <is>
          <t>Regression</t>
        </is>
      </c>
    </row>
    <row r="21" ht="79.2" customHeight="1">
      <c r="A21" s="5" t="inlineStr">
        <is>
          <t>IAS-05</t>
        </is>
      </c>
      <c r="B21" s="5" t="inlineStr">
        <is>
          <t>Kiểm tra bộ lọc Camera ID</t>
        </is>
      </c>
      <c r="C21" s="5" t="inlineStr">
        <is>
          <t>IAS-05-001</t>
        </is>
      </c>
      <c r="D21" s="5" t="inlineStr">
        <is>
          <t>Hiển thị dropdown Camera ID</t>
        </is>
      </c>
      <c r="E21" s="5" t="inlineStr">
        <is>
          <t>Người dùng ở tab Giám sát</t>
        </is>
      </c>
      <c r="F21" s="5" t="inlineStr">
        <is>
          <t>1) Quan sát bộ lọc phía trên bảng.</t>
        </is>
      </c>
      <c r="G21" s="5" t="n"/>
      <c r="H21" s="5" t="inlineStr">
        <is>
          <t>Dropdown "Camera ID" hiển thị đúng: có icon camera, label "Camera ID", mũi tên dropdown. Mặc định chưa chọn camera nào (hiển thị tất cả).</t>
        </is>
      </c>
      <c r="I21" s="5" t="n"/>
      <c r="J21" s="5" t="inlineStr">
        <is>
          <t>UI</t>
        </is>
      </c>
    </row>
    <row r="22" ht="118.8" customHeight="1">
      <c r="A22" s="5" t="inlineStr">
        <is>
          <t>IAS-05</t>
        </is>
      </c>
      <c r="B22" s="5" t="inlineStr">
        <is>
          <t>Kiểm tra bộ lọc Camera ID</t>
        </is>
      </c>
      <c r="C22" s="5" t="inlineStr">
        <is>
          <t>IAS-05-002</t>
        </is>
      </c>
      <c r="D22" s="5" t="inlineStr">
        <is>
          <t>Click mở dropdown Camera ID</t>
        </is>
      </c>
      <c r="E22" s="5" t="inlineStr">
        <is>
          <t>Người dùng ở tab Giám sát</t>
        </is>
      </c>
      <c r="F22" s="5" t="inlineStr">
        <is>
          <t>1) Click dropdown "Camera ID".</t>
        </is>
      </c>
      <c r="G22" s="5" t="n"/>
      <c r="H22" s="5" t="inlineStr">
        <is>
          <t>Dropdown mở ra hiển thị danh sách các camera (VD: LH-LTT-DK_CAM-04, LH-HV-LL_CAM-02, LH-LTT-DK_CAM-02, LH-HV-LL_CAM-03...). Có thể scroll nếu danh sách dài. Có search box để tìm kiếm (nếu có).</t>
        </is>
      </c>
      <c r="I22" s="5" t="n"/>
      <c r="J22" s="5" t="inlineStr">
        <is>
          <t>Feature</t>
        </is>
      </c>
    </row>
    <row r="23" ht="118.8" customHeight="1">
      <c r="A23" s="5" t="inlineStr">
        <is>
          <t>IAS-05</t>
        </is>
      </c>
      <c r="B23" s="5" t="inlineStr">
        <is>
          <t>Kiểm tra bộ lọc Camera ID</t>
        </is>
      </c>
      <c r="C23" s="5" t="inlineStr">
        <is>
          <t>IAS-05-003</t>
        </is>
      </c>
      <c r="D23" s="5" t="inlineStr">
        <is>
          <t>Chọn 1 Camera ID cụ thể</t>
        </is>
      </c>
      <c r="E23" s="5" t="inlineStr">
        <is>
          <t>Dropdown Camera ID đang mở</t>
        </is>
      </c>
      <c r="F23" s="5" t="inlineStr">
        <is>
          <t>1) Chọn camera "LH-LTT-DK_CAM-04".</t>
        </is>
      </c>
      <c r="G23" s="5" t="inlineStr">
        <is>
          <t>LH-LTT-DK_CAM-04</t>
        </is>
      </c>
      <c r="H23" s="5" t="inlineStr">
        <is>
          <t>1) Dropdown đóng lại, hiển thị camera đã chọn. 2) Bảng Giám sát trực tiếp chỉ hiển thị các sự kiện từ camera LH-LTT-DK_CAM-04. 3) Badge "X Sự kiện" cập nhật đúng số lượng. 4) Không hiển thị sự kiện từ camera khác.</t>
        </is>
      </c>
      <c r="I23" s="5" t="n"/>
      <c r="J23" s="5" t="inlineStr">
        <is>
          <t>Feature</t>
        </is>
      </c>
    </row>
    <row r="24" ht="39.6" customHeight="1">
      <c r="A24" s="5" t="inlineStr">
        <is>
          <t>IAS-05</t>
        </is>
      </c>
      <c r="B24" s="5" t="inlineStr">
        <is>
          <t>Kiểm tra bộ lọc Camera ID</t>
        </is>
      </c>
      <c r="C24" s="5" t="inlineStr">
        <is>
          <t>IAS-05-004</t>
        </is>
      </c>
      <c r="D24" s="5" t="inlineStr">
        <is>
          <t>Bỏ chọn Camera ID (reset về tất cả)</t>
        </is>
      </c>
      <c r="E24" s="5" t="inlineStr">
        <is>
          <t>Đã chọn 1 Camera ID</t>
        </is>
      </c>
      <c r="F24" s="5" t="inlineStr">
        <is>
          <t>1) Xóa/reset filter Camera ID (click x hoặc chọn "Tất cả").</t>
        </is>
      </c>
      <c r="G24" s="5" t="n"/>
      <c r="H24" s="5" t="inlineStr">
        <is>
          <t>Bảng hiển thị lại tất cả sự kiện từ mọi camera. Badge cập nhật lại tổng số.</t>
        </is>
      </c>
      <c r="I24" s="5" t="n"/>
      <c r="J24" s="5" t="inlineStr">
        <is>
          <t>Feature</t>
        </is>
      </c>
    </row>
    <row r="25" ht="52.8" customHeight="1">
      <c r="A25" s="5" t="inlineStr">
        <is>
          <t>IAS-05</t>
        </is>
      </c>
      <c r="B25" s="5" t="inlineStr">
        <is>
          <t>Kiểm tra bộ lọc Camera ID</t>
        </is>
      </c>
      <c r="C25" s="5" t="inlineStr">
        <is>
          <t>IAS-05-005</t>
        </is>
      </c>
      <c r="D25" s="5" t="inlineStr">
        <is>
          <t>Chọn Camera ID không có sự kiện</t>
        </is>
      </c>
      <c r="E25" s="5" t="inlineStr">
        <is>
          <t>Dropdown đang mở</t>
        </is>
      </c>
      <c r="F25" s="5" t="inlineStr">
        <is>
          <t>1) Chọn camera không có sự kiện nào.</t>
        </is>
      </c>
      <c r="G25" s="5" t="n"/>
      <c r="H25" s="5" t="inlineStr">
        <is>
          <t>Bảng hiển thị trống hoặc thông báo "Không có dữ liệu". Badge hiển thị "0 Sự kiện". Không lỗi.</t>
        </is>
      </c>
      <c r="I25" s="5" t="n"/>
      <c r="J25" s="5" t="inlineStr">
        <is>
          <t>Negative</t>
        </is>
      </c>
    </row>
    <row r="26" ht="52.8" customHeight="1">
      <c r="A26" s="5" t="inlineStr">
        <is>
          <t>IAS-06</t>
        </is>
      </c>
      <c r="B26" s="5" t="inlineStr">
        <is>
          <t>Kiểm tra toggle Tất cả / Watchlist / Blacklist</t>
        </is>
      </c>
      <c r="C26" s="5" t="inlineStr">
        <is>
          <t>IAS-06-001</t>
        </is>
      </c>
      <c r="D26" s="5" t="inlineStr">
        <is>
          <t>Hiển thị 3 toggle button</t>
        </is>
      </c>
      <c r="E26" s="5" t="inlineStr">
        <is>
          <t>Người dùng ở tab Giám sát</t>
        </is>
      </c>
      <c r="F26" s="5" t="inlineStr">
        <is>
          <t>1) Quan sát khu vực filter.</t>
        </is>
      </c>
      <c r="G26" s="5" t="n"/>
      <c r="H26" s="5" t="inlineStr">
        <is>
          <t>Hiển thị 3 button: "Tất cả", "Watchlist", "Blacklist". Mặc định "Tất cả" được active (background đậm/border).</t>
        </is>
      </c>
      <c r="I26" s="5" t="n"/>
      <c r="J26" s="5" t="inlineStr">
        <is>
          <t>UI</t>
        </is>
      </c>
    </row>
    <row r="27" ht="66" customHeight="1">
      <c r="A27" s="5" t="inlineStr">
        <is>
          <t>IAS-06</t>
        </is>
      </c>
      <c r="B27" s="5" t="inlineStr">
        <is>
          <t>Kiểm tra toggle Tất cả / Watchlist / Blacklist</t>
        </is>
      </c>
      <c r="C27" s="5" t="inlineStr">
        <is>
          <t>IAS-06-002</t>
        </is>
      </c>
      <c r="D27" s="5" t="inlineStr">
        <is>
          <t>Toggle "Tất cả" active mặc định</t>
        </is>
      </c>
      <c r="E27" s="5" t="inlineStr">
        <is>
          <t>Mới vào tab Giám sát</t>
        </is>
      </c>
      <c r="F27" s="5" t="inlineStr">
        <is>
          <t>1) Quan sát toggle.</t>
        </is>
      </c>
      <c r="G27" s="5" t="n"/>
      <c r="H27" s="5" t="inlineStr">
        <is>
          <t>Button "Tất cả" có style active (background đậm hơn). Bảng hiển thị tất cả sự kiện không phân biệt loại danh sách.</t>
        </is>
      </c>
      <c r="I27" s="5" t="n"/>
      <c r="J27" s="5" t="inlineStr">
        <is>
          <t>UI</t>
        </is>
      </c>
    </row>
    <row r="28" ht="92.40000000000001" customHeight="1">
      <c r="A28" s="5" t="inlineStr">
        <is>
          <t>IAS-06</t>
        </is>
      </c>
      <c r="B28" s="5" t="inlineStr">
        <is>
          <t>Kiểm tra toggle Tất cả / Watchlist / Blacklist</t>
        </is>
      </c>
      <c r="C28" s="5" t="inlineStr">
        <is>
          <t>IAS-06-003</t>
        </is>
      </c>
      <c r="D28" s="5" t="inlineStr">
        <is>
          <t>Click toggle "Watchlist"</t>
        </is>
      </c>
      <c r="E28" s="5" t="inlineStr">
        <is>
          <t>Đang ở "Tất cả"</t>
        </is>
      </c>
      <c r="F28" s="5" t="inlineStr">
        <is>
          <t>1) Click button "Watchlist".</t>
        </is>
      </c>
      <c r="G28" s="5" t="n"/>
      <c r="H28" s="5" t="inlineStr">
        <is>
          <t>1) Button "Watchlist" chuyển sang active, "Tất cả" bỏ active. 2) Bảng chỉ hiển thị sự kiện thuộc Watchlist. 3) Badge cập nhật số lượng. 4) Cột "Loại danh sách" hiển thị giá trị tương ứng.</t>
        </is>
      </c>
      <c r="I28" s="5" t="n"/>
      <c r="J28" s="5" t="inlineStr">
        <is>
          <t>Feature</t>
        </is>
      </c>
    </row>
    <row r="29" ht="66" customHeight="1">
      <c r="A29" s="5" t="inlineStr">
        <is>
          <t>IAS-06</t>
        </is>
      </c>
      <c r="B29" s="5" t="inlineStr">
        <is>
          <t>Kiểm tra toggle Tất cả / Watchlist / Blacklist</t>
        </is>
      </c>
      <c r="C29" s="5" t="inlineStr">
        <is>
          <t>IAS-06-004</t>
        </is>
      </c>
      <c r="D29" s="5" t="inlineStr">
        <is>
          <t>Click toggle "Blacklist"</t>
        </is>
      </c>
      <c r="E29" s="5" t="inlineStr">
        <is>
          <t>Đang ở "Tất cả" hoặc "Watchlist"</t>
        </is>
      </c>
      <c r="F29" s="5" t="inlineStr">
        <is>
          <t>1) Click button "Blacklist".</t>
        </is>
      </c>
      <c r="G29" s="5" t="n"/>
      <c r="H29" s="5" t="inlineStr">
        <is>
          <t>1) Button "Blacklist" active, các button khác bỏ active. 2) Bảng chỉ hiển thị sự kiện thuộc Blacklist. 3) Badge cập nhật số lượng.</t>
        </is>
      </c>
      <c r="I29" s="5" t="n"/>
      <c r="J29" s="5" t="inlineStr">
        <is>
          <t>Feature</t>
        </is>
      </c>
    </row>
    <row r="30" ht="39.6" customHeight="1">
      <c r="A30" s="5" t="inlineStr">
        <is>
          <t>IAS-06</t>
        </is>
      </c>
      <c r="B30" s="5" t="inlineStr">
        <is>
          <t>Kiểm tra toggle Tất cả / Watchlist / Blacklist</t>
        </is>
      </c>
      <c r="C30" s="5" t="inlineStr">
        <is>
          <t>IAS-06-005</t>
        </is>
      </c>
      <c r="D30" s="5" t="inlineStr">
        <is>
          <t>Click toggle "Tất cả" sau khi đã chọn Watchlist/Blacklist</t>
        </is>
      </c>
      <c r="E30" s="5" t="inlineStr">
        <is>
          <t>Đang ở Watchlist hoặc Blacklist</t>
        </is>
      </c>
      <c r="F30" s="5" t="inlineStr">
        <is>
          <t>1) Click button "Tất cả".</t>
        </is>
      </c>
      <c r="G30" s="5" t="n"/>
      <c r="H30" s="5" t="inlineStr">
        <is>
          <t>Quay về hiển thị tất cả sự kiện. Badge cập nhật tổng số.</t>
        </is>
      </c>
      <c r="I30" s="5" t="n"/>
      <c r="J30" s="5" t="inlineStr">
        <is>
          <t>Feature</t>
        </is>
      </c>
    </row>
    <row r="31" ht="52.8" customHeight="1">
      <c r="A31" s="5" t="inlineStr">
        <is>
          <t>IAS-06</t>
        </is>
      </c>
      <c r="B31" s="5" t="inlineStr">
        <is>
          <t>Kiểm tra toggle Tất cả / Watchlist / Blacklist</t>
        </is>
      </c>
      <c r="C31" s="5" t="inlineStr">
        <is>
          <t>IAS-06-006</t>
        </is>
      </c>
      <c r="D31" s="5" t="inlineStr">
        <is>
          <t>Kết hợp filter Camera ID + toggle Watchlist</t>
        </is>
      </c>
      <c r="E31" s="5" t="inlineStr">
        <is>
          <t>Đã chọn 1 Camera ID</t>
        </is>
      </c>
      <c r="F31" s="5" t="inlineStr">
        <is>
          <t>1) Chọn Camera ID: LH-LTT-DK_CAM-04. 2) Click "Watchlist".</t>
        </is>
      </c>
      <c r="G31" s="5" t="n"/>
      <c r="H31" s="5" t="inlineStr">
        <is>
          <t>Bảng chỉ hiển thị sự kiện từ camera LH-LTT-DK_CAM-04 VÀ thuộc Watchlist. Badge cập nhật đúng.</t>
        </is>
      </c>
      <c r="I31" s="5" t="n"/>
      <c r="J31" s="5" t="inlineStr">
        <is>
          <t>Feature</t>
        </is>
      </c>
    </row>
    <row r="32" ht="39.6" customHeight="1">
      <c r="A32" s="5" t="inlineStr">
        <is>
          <t>IAS-06</t>
        </is>
      </c>
      <c r="B32" s="5" t="inlineStr">
        <is>
          <t>Kiểm tra toggle Tất cả / Watchlist / Blacklist</t>
        </is>
      </c>
      <c r="C32" s="5" t="inlineStr">
        <is>
          <t>IAS-06-007</t>
        </is>
      </c>
      <c r="D32" s="5" t="inlineStr">
        <is>
          <t>Watchlist/Blacklist không có sự kiện</t>
        </is>
      </c>
      <c r="E32" s="5" t="inlineStr">
        <is>
          <t>Không có sự kiện thuộc Blacklist</t>
        </is>
      </c>
      <c r="F32" s="5" t="inlineStr">
        <is>
          <t>1) Click "Blacklist".</t>
        </is>
      </c>
      <c r="G32" s="5" t="n"/>
      <c r="H32" s="5" t="inlineStr">
        <is>
          <t>Bảng hiển thị trống hoặc "Không có dữ liệu". Badge "0 Sự kiện". Không lỗi.</t>
        </is>
      </c>
      <c r="I32" s="5" t="n"/>
      <c r="J32" s="5" t="inlineStr">
        <is>
          <t>Negative</t>
        </is>
      </c>
    </row>
    <row r="33" ht="39.6" customHeight="1">
      <c r="A33" s="5" t="inlineStr">
        <is>
          <t>IAS-07</t>
        </is>
      </c>
      <c r="B33" s="5" t="inlineStr">
        <is>
          <t>Kiểm tra bảng Giám sát trực tiếp - Header &amp; Badge</t>
        </is>
      </c>
      <c r="C33" s="5" t="inlineStr">
        <is>
          <t>IAS-07-001</t>
        </is>
      </c>
      <c r="D33" s="5" t="inlineStr">
        <is>
          <t>Hiển thị tiêu đề "Giám sát trực tiếp"</t>
        </is>
      </c>
      <c r="E33" s="5" t="inlineStr">
        <is>
          <t>Người dùng ở tab Giám sát</t>
        </is>
      </c>
      <c r="F33" s="5" t="inlineStr">
        <is>
          <t>1) Quan sát tiêu đề bảng.</t>
        </is>
      </c>
      <c r="G33" s="5" t="n"/>
      <c r="H33" s="5" t="inlineStr">
        <is>
          <t>Hiển thị text "Giám sát trực tiếp" in đậm, đúng font/size theo thiết kế.</t>
        </is>
      </c>
      <c r="I33" s="5" t="n"/>
      <c r="J33" s="5" t="inlineStr">
        <is>
          <t>UI</t>
        </is>
      </c>
    </row>
    <row r="34" ht="52.8" customHeight="1">
      <c r="A34" s="5" t="inlineStr">
        <is>
          <t>IAS-07</t>
        </is>
      </c>
      <c r="B34" s="5" t="inlineStr">
        <is>
          <t>Kiểm tra bảng Giám sát trực tiếp - Header &amp; Badge</t>
        </is>
      </c>
      <c r="C34" s="5" t="inlineStr">
        <is>
          <t>IAS-07-002</t>
        </is>
      </c>
      <c r="D34" s="5" t="inlineStr">
        <is>
          <t>Hiển thị badge số lượng sự kiện</t>
        </is>
      </c>
      <c r="E34" s="5" t="inlineStr">
        <is>
          <t>Có sự kiện trong hệ thống</t>
        </is>
      </c>
      <c r="F34" s="5" t="inlineStr">
        <is>
          <t>1) Quan sát badge bên cạnh tiêu đề.</t>
        </is>
      </c>
      <c r="G34" s="5" t="n"/>
      <c r="H34" s="5" t="inlineStr">
        <is>
          <t>Badge màu xanh lá hiển thị "38 Sự kiện" (hoặc số lượng thực tế). Badge cập nhật khi filter thay đổi.</t>
        </is>
      </c>
      <c r="I34" s="5" t="n"/>
      <c r="J34" s="5" t="inlineStr">
        <is>
          <t>UI</t>
        </is>
      </c>
    </row>
    <row r="35" ht="39.6" customHeight="1">
      <c r="A35" s="5" t="inlineStr">
        <is>
          <t>IAS-07</t>
        </is>
      </c>
      <c r="B35" s="5" t="inlineStr">
        <is>
          <t>Kiểm tra bảng Giám sát trực tiếp - Header &amp; Badge</t>
        </is>
      </c>
      <c r="C35" s="5" t="inlineStr">
        <is>
          <t>IAS-07-003</t>
        </is>
      </c>
      <c r="D35" s="5" t="inlineStr">
        <is>
          <t>Badge cập nhật khi có sự kiện mới (realtime)</t>
        </is>
      </c>
      <c r="E35" s="5" t="inlineStr">
        <is>
          <t>Hệ thống đang nhận diện khuôn mặt</t>
        </is>
      </c>
      <c r="F35" s="5" t="inlineStr">
        <is>
          <t>1) Quan sát badge trong 5 phút. 2) Đợi sự kiện mới.</t>
        </is>
      </c>
      <c r="G35" s="5" t="n"/>
      <c r="H35" s="5" t="inlineStr">
        <is>
          <t>Số trên badge tự động tăng khi có sự kiện mới mà không cần refresh trang.</t>
        </is>
      </c>
      <c r="I35" s="5" t="n"/>
      <c r="J35" s="5" t="inlineStr">
        <is>
          <t>Feature</t>
        </is>
      </c>
    </row>
    <row r="36" ht="92.40000000000001" customHeight="1">
      <c r="A36" s="5" t="inlineStr">
        <is>
          <t>IAS-07</t>
        </is>
      </c>
      <c r="B36" s="5" t="inlineStr">
        <is>
          <t>Kiểm tra bảng Giám sát trực tiếp - Header &amp; Badge</t>
        </is>
      </c>
      <c r="C36" s="5" t="inlineStr">
        <is>
          <t>IAS-07-004</t>
        </is>
      </c>
      <c r="D36" s="5" t="inlineStr">
        <is>
          <t>Hiển thị đầy đủ header cột bảng</t>
        </is>
      </c>
      <c r="E36" s="5" t="inlineStr">
        <is>
          <t>Người dùng ở tab Giám sát</t>
        </is>
      </c>
      <c r="F36" s="5" t="inlineStr">
        <is>
          <t>1) Quan sát header row của bảng.</t>
        </is>
      </c>
      <c r="G36" s="5" t="n"/>
      <c r="H36" s="5" t="inlineStr">
        <is>
          <t>Hiển thị đủ 7 cột: "Khuôn mặt trong sự kiện", "Khuôn mặt mục tiêu", "Dữ liệu mô tả", "Thời gian", "Mã camera", "Loại danh sách", và cột action (⋮). Thứ tự đúng, không thiếu cột.</t>
        </is>
      </c>
      <c r="I36" s="5" t="n"/>
      <c r="J36" s="5" t="inlineStr">
        <is>
          <t>UI</t>
        </is>
      </c>
    </row>
    <row r="37" ht="66" customHeight="1">
      <c r="A37" s="5" t="inlineStr">
        <is>
          <t>IAS-08</t>
        </is>
      </c>
      <c r="B37" s="5" t="inlineStr">
        <is>
          <t>Kiểm tra bảng Giám sát trực tiếp - Dữ liệu</t>
        </is>
      </c>
      <c r="C37" s="5" t="inlineStr">
        <is>
          <t>IAS-08-001</t>
        </is>
      </c>
      <c r="D37" s="5" t="inlineStr">
        <is>
          <t>Hiển thị hình ảnh "Khuôn mặt trong sự kiện"</t>
        </is>
      </c>
      <c r="E37" s="5" t="inlineStr">
        <is>
          <t>Có sự kiện nhận diện</t>
        </is>
      </c>
      <c r="F37" s="5" t="inlineStr">
        <is>
          <t>1) Quan sát cột "Khuôn mặt trong sự kiện".</t>
        </is>
      </c>
      <c r="G37" s="5" t="n"/>
      <c r="H37" s="5" t="inlineStr">
        <is>
          <t>Hiển thị thumbnail hình ảnh khuôn mặt được phát hiện trong video. Hình ảnh rõ nét, không bể, kích thước đồng nhất giữa các dòng.</t>
        </is>
      </c>
      <c r="I37" s="5" t="n"/>
      <c r="J37" s="5" t="inlineStr">
        <is>
          <t>Feature</t>
        </is>
      </c>
    </row>
    <row r="38" ht="79.2" customHeight="1">
      <c r="A38" s="5" t="inlineStr">
        <is>
          <t>IAS-08</t>
        </is>
      </c>
      <c r="B38" s="5" t="inlineStr">
        <is>
          <t>Kiểm tra bảng Giám sát trực tiếp - Dữ liệu</t>
        </is>
      </c>
      <c r="C38" s="5" t="inlineStr">
        <is>
          <t>IAS-08-002</t>
        </is>
      </c>
      <c r="D38" s="5" t="inlineStr">
        <is>
          <t>Hiển thị hình ảnh "Khuôn mặt mục tiêu" + % match</t>
        </is>
      </c>
      <c r="E38" s="5" t="inlineStr">
        <is>
          <t>Có sự kiện nhận diện</t>
        </is>
      </c>
      <c r="F38" s="5" t="inlineStr">
        <is>
          <t>1) Quan sát cột "Khuôn mặt mục tiêu".</t>
        </is>
      </c>
      <c r="G38" s="5" t="n"/>
      <c r="H38" s="5" t="inlineStr">
        <is>
          <t>Hiển thị thumbnail khuôn mặt mục tiêu (từ database). Hiển thị badge % độ khớp (VD: 20.06%, 21.30%, 17.44%...) ở góc dưới hình. Badge đúng format XX.XX%.</t>
        </is>
      </c>
      <c r="I38" s="5" t="n"/>
      <c r="J38" s="5" t="inlineStr">
        <is>
          <t>Feature</t>
        </is>
      </c>
    </row>
    <row r="39" ht="52.8" customHeight="1">
      <c r="A39" s="5" t="inlineStr">
        <is>
          <t>IAS-08</t>
        </is>
      </c>
      <c r="B39" s="5" t="inlineStr">
        <is>
          <t>Kiểm tra bảng Giám sát trực tiếp - Dữ liệu</t>
        </is>
      </c>
      <c r="C39" s="5" t="inlineStr">
        <is>
          <t>IAS-08-003</t>
        </is>
      </c>
      <c r="D39" s="5" t="inlineStr">
        <is>
          <t>Khuôn mặt mục tiêu - Không có match</t>
        </is>
      </c>
      <c r="E39" s="5" t="inlineStr">
        <is>
          <t>Sự kiện nhận diện nhưng không khớp với database</t>
        </is>
      </c>
      <c r="F39" s="5" t="inlineStr">
        <is>
          <t>1) Quan sát sự kiện không có khuôn mặt mục tiêu.</t>
        </is>
      </c>
      <c r="G39" s="5" t="n"/>
      <c r="H39" s="5" t="inlineStr">
        <is>
          <t>Cột "Khuôn mặt mục tiêu" hiển thị trống hoặc placeholder "N/A". Không hiển thị lỗi.</t>
        </is>
      </c>
      <c r="I39" s="5" t="n"/>
      <c r="J39" s="5" t="inlineStr">
        <is>
          <t>Negative</t>
        </is>
      </c>
    </row>
    <row r="40" ht="52.8" customHeight="1">
      <c r="A40" s="5" t="inlineStr">
        <is>
          <t>IAS-08</t>
        </is>
      </c>
      <c r="B40" s="5" t="inlineStr">
        <is>
          <t>Kiểm tra bảng Giám sát trực tiếp - Dữ liệu</t>
        </is>
      </c>
      <c r="C40" s="5" t="inlineStr">
        <is>
          <t>IAS-08-004</t>
        </is>
      </c>
      <c r="D40" s="5" t="inlineStr">
        <is>
          <t>Hiển thị cột "Dữ liệu mô tả"</t>
        </is>
      </c>
      <c r="E40" s="5" t="inlineStr">
        <is>
          <t>Có sự kiện</t>
        </is>
      </c>
      <c r="F40" s="5" t="inlineStr">
        <is>
          <t>1) Quan sát cột "Dữ liệu mô tả".</t>
        </is>
      </c>
      <c r="G40" s="5" t="n"/>
      <c r="H40" s="5" t="inlineStr">
        <is>
          <t>Hiển thị thông tin mô tả sự kiện (nếu có). Nếu trống thì hiển thị cell trống, không NaN/null.</t>
        </is>
      </c>
      <c r="I40" s="5" t="n"/>
      <c r="J40" s="5" t="inlineStr">
        <is>
          <t>Feature</t>
        </is>
      </c>
    </row>
    <row r="41" ht="66" customHeight="1">
      <c r="A41" s="5" t="inlineStr">
        <is>
          <t>IAS-08</t>
        </is>
      </c>
      <c r="B41" s="5" t="inlineStr">
        <is>
          <t>Kiểm tra bảng Giám sát trực tiếp - Dữ liệu</t>
        </is>
      </c>
      <c r="C41" s="5" t="inlineStr">
        <is>
          <t>IAS-08-005</t>
        </is>
      </c>
      <c r="D41" s="5" t="inlineStr">
        <is>
          <t>Hiển thị cột "Thời gian" đúng format</t>
        </is>
      </c>
      <c r="E41" s="5" t="inlineStr">
        <is>
          <t>Có sự kiện</t>
        </is>
      </c>
      <c r="F41" s="5" t="inlineStr">
        <is>
          <t>1) Quan sát cột "Thời gian".</t>
        </is>
      </c>
      <c r="G41" s="5" t="n"/>
      <c r="H41" s="5" t="inlineStr">
        <is>
          <t>Hiển thị đúng format: dd/MM/yyyy HH:mm:ss (VD: 24/02/2026 12:01:12). Sắp xếp theo thời gian mới nhất ở trên.</t>
        </is>
      </c>
      <c r="I41" s="5" t="n"/>
      <c r="J41" s="5" t="inlineStr">
        <is>
          <t>Feature</t>
        </is>
      </c>
    </row>
    <row r="42" ht="66" customHeight="1">
      <c r="A42" s="5" t="inlineStr">
        <is>
          <t>IAS-08</t>
        </is>
      </c>
      <c r="B42" s="5" t="inlineStr">
        <is>
          <t>Kiểm tra bảng Giám sát trực tiếp - Dữ liệu</t>
        </is>
      </c>
      <c r="C42" s="5" t="inlineStr">
        <is>
          <t>IAS-08-006</t>
        </is>
      </c>
      <c r="D42" s="5" t="inlineStr">
        <is>
          <t>Hiển thị cột "Mã camera" đúng</t>
        </is>
      </c>
      <c r="E42" s="5" t="inlineStr">
        <is>
          <t>Có sự kiện</t>
        </is>
      </c>
      <c r="F42" s="5" t="inlineStr">
        <is>
          <t>1) Quan sát cột "Mã camera".</t>
        </is>
      </c>
      <c r="G42" s="5" t="n"/>
      <c r="H42" s="5" t="inlineStr">
        <is>
          <t>Hiển thị mã camera đúng (VD: LH-LTT-DK_CAM-04, LH-HV-LL_CAM-02). Mã khớp với camera thực tế đã ghi nhận sự kiện.</t>
        </is>
      </c>
      <c r="I42" s="5" t="n"/>
      <c r="J42" s="5" t="inlineStr">
        <is>
          <t>Feature</t>
        </is>
      </c>
    </row>
    <row r="43" ht="52.8" customHeight="1">
      <c r="A43" s="5" t="inlineStr">
        <is>
          <t>IAS-08</t>
        </is>
      </c>
      <c r="B43" s="5" t="inlineStr">
        <is>
          <t>Kiểm tra bảng Giám sát trực tiếp - Dữ liệu</t>
        </is>
      </c>
      <c r="C43" s="5" t="inlineStr">
        <is>
          <t>IAS-08-007</t>
        </is>
      </c>
      <c r="D43" s="5" t="inlineStr">
        <is>
          <t>Hiển thị cột "Loại danh sách"</t>
        </is>
      </c>
      <c r="E43" s="5" t="inlineStr">
        <is>
          <t>Có sự kiện</t>
        </is>
      </c>
      <c r="F43" s="5" t="inlineStr">
        <is>
          <t>1) Quan sát cột "Loại danh sách".</t>
        </is>
      </c>
      <c r="G43" s="5" t="n"/>
      <c r="H43" s="5" t="inlineStr">
        <is>
          <t>Hiển thị đúng loại: "Chưa xác định" (tag màu xám), "Watchlist", hoặc "Blacklist". Tag style đúng thiết kế.</t>
        </is>
      </c>
      <c r="I43" s="5" t="n"/>
      <c r="J43" s="5" t="inlineStr">
        <is>
          <t>Feature</t>
        </is>
      </c>
    </row>
    <row r="44" ht="66" customHeight="1">
      <c r="A44" s="5" t="inlineStr">
        <is>
          <t>IAS-08</t>
        </is>
      </c>
      <c r="B44" s="5" t="inlineStr">
        <is>
          <t>Kiểm tra bảng Giám sát trực tiếp - Dữ liệu</t>
        </is>
      </c>
      <c r="C44" s="5" t="inlineStr">
        <is>
          <t>IAS-08-008</t>
        </is>
      </c>
      <c r="D44" s="5" t="inlineStr">
        <is>
          <t>Sự kiện mới hiển thị realtime</t>
        </is>
      </c>
      <c r="E44" s="5" t="inlineStr">
        <is>
          <t>Camera đang nhận diện khuôn mặt</t>
        </is>
      </c>
      <c r="F44" s="5" t="inlineStr">
        <is>
          <t>1) Quan sát bảng trong 5 phút. 2) Đợi sự kiện mới.</t>
        </is>
      </c>
      <c r="G44" s="5" t="n"/>
      <c r="H44" s="5" t="inlineStr">
        <is>
          <t>Sự kiện mới tự động xuất hiện ở đầu bảng (dòng trên cùng) mà không cần refresh. Animation smooth khi thêm dòng mới.</t>
        </is>
      </c>
      <c r="I44" s="5" t="n"/>
      <c r="J44" s="5" t="inlineStr">
        <is>
          <t>Feature</t>
        </is>
      </c>
    </row>
    <row r="45" ht="66" customHeight="1">
      <c r="A45" s="5" t="inlineStr">
        <is>
          <t>IAS-08</t>
        </is>
      </c>
      <c r="B45" s="5" t="inlineStr">
        <is>
          <t>Kiểm tra bảng Giám sát trực tiếp - Dữ liệu</t>
        </is>
      </c>
      <c r="C45" s="5" t="inlineStr">
        <is>
          <t>IAS-08-009</t>
        </is>
      </c>
      <c r="D45" s="5" t="inlineStr">
        <is>
          <t>Bảng hiển thị khi không có sự kiện</t>
        </is>
      </c>
      <c r="E45" s="5" t="inlineStr">
        <is>
          <t>Không có sự kiện nào</t>
        </is>
      </c>
      <c r="F45" s="5" t="inlineStr">
        <is>
          <t>1) Mở tab Giám sát khi không có sự kiện.</t>
        </is>
      </c>
      <c r="G45" s="5" t="n"/>
      <c r="H45" s="5" t="inlineStr">
        <is>
          <t>Bảng hiển thị trống với thông báo "Không có dữ liệu" hoặc "Chưa có sự kiện nào". Badge "0 Sự kiện". Không lỗi.</t>
        </is>
      </c>
      <c r="I45" s="5" t="n"/>
      <c r="J45" s="5" t="inlineStr">
        <is>
          <t>Negative</t>
        </is>
      </c>
    </row>
    <row r="46" ht="66" customHeight="1">
      <c r="A46" s="5" t="inlineStr">
        <is>
          <t>IAS-08</t>
        </is>
      </c>
      <c r="B46" s="5" t="inlineStr">
        <is>
          <t>Kiểm tra bảng Giám sát trực tiếp - Dữ liệu</t>
        </is>
      </c>
      <c r="C46" s="5" t="inlineStr">
        <is>
          <t>IAS-08-010</t>
        </is>
      </c>
      <c r="D46" s="5" t="inlineStr">
        <is>
          <t>Bảng có nhiều sự kiện - Scroll</t>
        </is>
      </c>
      <c r="E46" s="5" t="inlineStr">
        <is>
          <t>Có &gt; 20 sự kiện</t>
        </is>
      </c>
      <c r="F46" s="5" t="inlineStr">
        <is>
          <t>1) Scroll xuống trong bảng.</t>
        </is>
      </c>
      <c r="G46" s="5" t="n"/>
      <c r="H46" s="5" t="inlineStr">
        <is>
          <t>Bảng hỗ trợ scroll dọc. Header cột cố định (sticky header) khi scroll. Dữ liệu tiếp tục load (lazy load/pagination nếu có).</t>
        </is>
      </c>
      <c r="I46" s="5" t="n"/>
      <c r="J46" s="5" t="inlineStr">
        <is>
          <t>Feature</t>
        </is>
      </c>
    </row>
    <row r="47" ht="39.6" customHeight="1">
      <c r="A47" s="5" t="inlineStr">
        <is>
          <t>IAS-08</t>
        </is>
      </c>
      <c r="B47" s="5" t="inlineStr">
        <is>
          <t>Kiểm tra bảng Giám sát trực tiếp - Dữ liệu</t>
        </is>
      </c>
      <c r="C47" s="5" t="inlineStr">
        <is>
          <t>IAS-08-011</t>
        </is>
      </c>
      <c r="D47" s="5" t="inlineStr">
        <is>
          <t>Click vào hình ảnh "Khuôn mặt trong sự kiện"</t>
        </is>
      </c>
      <c r="E47" s="5" t="inlineStr">
        <is>
          <t>Có sự kiện</t>
        </is>
      </c>
      <c r="F47" s="5" t="inlineStr">
        <is>
          <t>1) Click vào thumbnail khuôn mặt trong sự kiện.</t>
        </is>
      </c>
      <c r="G47" s="5" t="n"/>
      <c r="H47" s="5" t="inlineStr">
        <is>
          <t>Mở popup/lightbox hiển thị hình ảnh lớn hơn hoặc chi tiết sự kiện. Hình ảnh rõ nét.</t>
        </is>
      </c>
      <c r="I47" s="5" t="n"/>
      <c r="J47" s="5" t="inlineStr">
        <is>
          <t>Feature</t>
        </is>
      </c>
    </row>
    <row r="48" ht="52.8" customHeight="1">
      <c r="A48" s="5" t="inlineStr">
        <is>
          <t>IAS-08</t>
        </is>
      </c>
      <c r="B48" s="5" t="inlineStr">
        <is>
          <t>Kiểm tra bảng Giám sát trực tiếp - Dữ liệu</t>
        </is>
      </c>
      <c r="C48" s="5" t="inlineStr">
        <is>
          <t>IAS-08-012</t>
        </is>
      </c>
      <c r="D48" s="5" t="inlineStr">
        <is>
          <t>Click vào hình ảnh "Khuôn mặt mục tiêu"</t>
        </is>
      </c>
      <c r="E48" s="5" t="inlineStr">
        <is>
          <t>Có sự kiện có khuôn mặt mục tiêu</t>
        </is>
      </c>
      <c r="F48" s="5" t="inlineStr">
        <is>
          <t>1) Click vào thumbnail khuôn mặt mục tiêu.</t>
        </is>
      </c>
      <c r="G48" s="5" t="n"/>
      <c r="H48" s="5" t="inlineStr">
        <is>
          <t>Mở popup/lightbox hiển thị hình ảnh mục tiêu lớn hơn hoặc thông tin profile mục tiêu.</t>
        </is>
      </c>
      <c r="I48" s="5" t="n"/>
      <c r="J48" s="5" t="inlineStr">
        <is>
          <t>Feature</t>
        </is>
      </c>
    </row>
    <row r="49" ht="52.8" customHeight="1">
      <c r="A49" s="5" t="inlineStr">
        <is>
          <t>IAS-08</t>
        </is>
      </c>
      <c r="B49" s="5" t="inlineStr">
        <is>
          <t>Kiểm tra bảng Giám sát trực tiếp - Dữ liệu</t>
        </is>
      </c>
      <c r="C49" s="5" t="inlineStr">
        <is>
          <t>IAS-08-013</t>
        </is>
      </c>
      <c r="D49" s="5" t="inlineStr">
        <is>
          <t>Giá trị % match hiển thị đúng</t>
        </is>
      </c>
      <c r="E49" s="5" t="inlineStr">
        <is>
          <t>Có sự kiện match</t>
        </is>
      </c>
      <c r="F49" s="5" t="inlineStr">
        <is>
          <t>1) Quan sát % match. 2) So sánh với backend/API.</t>
        </is>
      </c>
      <c r="G49" s="5" t="n"/>
      <c r="H49" s="5" t="inlineStr">
        <is>
          <t>Giá trị % khớp 100% với giá trị từ engine nhận diện. Format XX.XX%, không làm tròn sai.</t>
        </is>
      </c>
      <c r="I49" s="5" t="n"/>
      <c r="J49" s="5" t="inlineStr">
        <is>
          <t>Feature</t>
        </is>
      </c>
    </row>
    <row r="50" ht="52.8" customHeight="1">
      <c r="A50" s="5" t="inlineStr">
        <is>
          <t>IAS-09</t>
        </is>
      </c>
      <c r="B50" s="5" t="inlineStr">
        <is>
          <t>Kiểm tra Toolbar bảng (Export, Filter, Refresh)</t>
        </is>
      </c>
      <c r="C50" s="5" t="inlineStr">
        <is>
          <t>IAS-09-001</t>
        </is>
      </c>
      <c r="D50" s="5" t="inlineStr">
        <is>
          <t>Hiển thị 3 icon toolbar</t>
        </is>
      </c>
      <c r="E50" s="5" t="inlineStr">
        <is>
          <t>Người dùng ở tab Giám sát</t>
        </is>
      </c>
      <c r="F50" s="5" t="inlineStr">
        <is>
          <t>1) Quan sát góc phải trên bảng "Giám sát trực tiếp".</t>
        </is>
      </c>
      <c r="G50" s="5" t="n"/>
      <c r="H50" s="5" t="inlineStr">
        <is>
          <t>Hiển thị 3 icon: Lưu/Export (💾), Filter (≡), Refresh (🔄). Đúng vị trí, đúng icon theo thiết kế.</t>
        </is>
      </c>
      <c r="I50" s="5" t="n"/>
      <c r="J50" s="5" t="inlineStr">
        <is>
          <t>UI</t>
        </is>
      </c>
    </row>
    <row r="51" ht="66" customHeight="1">
      <c r="A51" s="5" t="inlineStr">
        <is>
          <t>IAS-09</t>
        </is>
      </c>
      <c r="B51" s="5" t="inlineStr">
        <is>
          <t>Kiểm tra Toolbar bảng (Export, Filter, Refresh)</t>
        </is>
      </c>
      <c r="C51" s="5" t="inlineStr">
        <is>
          <t>IAS-09-002</t>
        </is>
      </c>
      <c r="D51" s="5" t="inlineStr">
        <is>
          <t>Click icon Export/Lưu</t>
        </is>
      </c>
      <c r="E51" s="5" t="inlineStr">
        <is>
          <t>Có sự kiện trong bảng</t>
        </is>
      </c>
      <c r="F51" s="5" t="inlineStr">
        <is>
          <t>1) Click icon 💾 (Export/Lưu).</t>
        </is>
      </c>
      <c r="G51" s="5" t="n"/>
      <c r="H51" s="5" t="inlineStr">
        <is>
          <t>Thực hiện export dữ liệu bảng (CSV/Excel/PDF). File download thành công, dữ liệu trong file khớp với bảng đang hiển thị (đã filter).</t>
        </is>
      </c>
      <c r="I51" s="5" t="n"/>
      <c r="J51" s="5" t="inlineStr">
        <is>
          <t>Feature</t>
        </is>
      </c>
    </row>
    <row r="52" ht="39.6" customHeight="1">
      <c r="A52" s="5" t="inlineStr">
        <is>
          <t>IAS-09</t>
        </is>
      </c>
      <c r="B52" s="5" t="inlineStr">
        <is>
          <t>Kiểm tra Toolbar bảng (Export, Filter, Refresh)</t>
        </is>
      </c>
      <c r="C52" s="5" t="inlineStr">
        <is>
          <t>IAS-09-003</t>
        </is>
      </c>
      <c r="D52" s="5" t="inlineStr">
        <is>
          <t>Export khi bảng trống</t>
        </is>
      </c>
      <c r="E52" s="5" t="inlineStr">
        <is>
          <t>Bảng không có sự kiện</t>
        </is>
      </c>
      <c r="F52" s="5" t="inlineStr">
        <is>
          <t>1) Click icon Export.</t>
        </is>
      </c>
      <c r="G52" s="5" t="n"/>
      <c r="H52" s="5" t="inlineStr">
        <is>
          <t>Hiển thị thông báo "Không có dữ liệu để xuất" hoặc export file trống có header.</t>
        </is>
      </c>
      <c r="I52" s="5" t="n"/>
      <c r="J52" s="5" t="inlineStr">
        <is>
          <t>Negative</t>
        </is>
      </c>
    </row>
    <row r="53" ht="66" customHeight="1">
      <c r="A53" s="5" t="inlineStr">
        <is>
          <t>IAS-09</t>
        </is>
      </c>
      <c r="B53" s="5" t="inlineStr">
        <is>
          <t>Kiểm tra Toolbar bảng (Export, Filter, Refresh)</t>
        </is>
      </c>
      <c r="C53" s="5" t="inlineStr">
        <is>
          <t>IAS-09-004</t>
        </is>
      </c>
      <c r="D53" s="5" t="inlineStr">
        <is>
          <t>Click icon Filter</t>
        </is>
      </c>
      <c r="E53" s="5" t="inlineStr">
        <is>
          <t>Người dùng ở tab Giám sát</t>
        </is>
      </c>
      <c r="F53" s="5" t="inlineStr">
        <is>
          <t>1) Click icon ≡ (Filter).</t>
        </is>
      </c>
      <c r="G53" s="5" t="n"/>
      <c r="H53" s="5" t="inlineStr">
        <is>
          <t>Mở popup/panel filter nâng cao. Cho phép lọc theo: khoảng thời gian, % match, loại danh sách, camera, v.v. Có nút Apply/Reset.</t>
        </is>
      </c>
      <c r="I53" s="5" t="n"/>
      <c r="J53" s="5" t="inlineStr">
        <is>
          <t>Feature</t>
        </is>
      </c>
    </row>
    <row r="54" ht="52.8" customHeight="1">
      <c r="A54" s="5" t="inlineStr">
        <is>
          <t>IAS-09</t>
        </is>
      </c>
      <c r="B54" s="5" t="inlineStr">
        <is>
          <t>Kiểm tra Toolbar bảng (Export, Filter, Refresh)</t>
        </is>
      </c>
      <c r="C54" s="5" t="inlineStr">
        <is>
          <t>IAS-09-005</t>
        </is>
      </c>
      <c r="D54" s="5" t="inlineStr">
        <is>
          <t>Filter nâng cao - Apply</t>
        </is>
      </c>
      <c r="E54" s="5" t="inlineStr">
        <is>
          <t>Đã mở panel filter</t>
        </is>
      </c>
      <c r="F54" s="5" t="inlineStr">
        <is>
          <t>1) Chọn điều kiện filter (VD: thời gian từ 13/02 đến 14/02). 2) Click Apply.</t>
        </is>
      </c>
      <c r="G54" s="5" t="n"/>
      <c r="H54" s="5" t="inlineStr">
        <is>
          <t>Bảng chỉ hiển thị sự kiện thỏa điều kiện. Badge cập nhật số lượng. Filter icon có indicator cho biết đang filter.</t>
        </is>
      </c>
      <c r="I54" s="5" t="n"/>
      <c r="J54" s="5" t="inlineStr">
        <is>
          <t>Feature</t>
        </is>
      </c>
    </row>
    <row r="55" ht="39.6" customHeight="1">
      <c r="A55" s="5" t="inlineStr">
        <is>
          <t>IAS-09</t>
        </is>
      </c>
      <c r="B55" s="5" t="inlineStr">
        <is>
          <t>Kiểm tra Toolbar bảng (Export, Filter, Refresh)</t>
        </is>
      </c>
      <c r="C55" s="5" t="inlineStr">
        <is>
          <t>IAS-09-006</t>
        </is>
      </c>
      <c r="D55" s="5" t="inlineStr">
        <is>
          <t>Filter nâng cao - Reset</t>
        </is>
      </c>
      <c r="E55" s="5" t="inlineStr">
        <is>
          <t>Đang filter</t>
        </is>
      </c>
      <c r="F55" s="5" t="inlineStr">
        <is>
          <t>1) Click Reset/Xóa bộ lọc.</t>
        </is>
      </c>
      <c r="G55" s="5" t="n"/>
      <c r="H55" s="5" t="inlineStr">
        <is>
          <t>Bảng quay về hiển thị tất cả sự kiện. Filter indicator biến mất.</t>
        </is>
      </c>
      <c r="I55" s="5" t="n"/>
      <c r="J55" s="5" t="inlineStr">
        <is>
          <t>Feature</t>
        </is>
      </c>
    </row>
    <row r="56" ht="66" customHeight="1">
      <c r="A56" s="5" t="inlineStr">
        <is>
          <t>IAS-09</t>
        </is>
      </c>
      <c r="B56" s="5" t="inlineStr">
        <is>
          <t>Kiểm tra Toolbar bảng (Export, Filter, Refresh)</t>
        </is>
      </c>
      <c r="C56" s="5" t="inlineStr">
        <is>
          <t>IAS-09-007</t>
        </is>
      </c>
      <c r="D56" s="5" t="inlineStr">
        <is>
          <t>Click icon Refresh</t>
        </is>
      </c>
      <c r="E56" s="5" t="inlineStr">
        <is>
          <t>Người dùng ở tab Giám sát</t>
        </is>
      </c>
      <c r="F56" s="5" t="inlineStr">
        <is>
          <t>1) Click icon 🔄 (Refresh).</t>
        </is>
      </c>
      <c r="G56" s="5" t="n"/>
      <c r="H56" s="5" t="inlineStr">
        <is>
          <t>Bảng reload dữ liệu mới nhất từ server. Không chuyển trang. Dữ liệu cập nhật. Loading indicator hiển thị trong lúc load.</t>
        </is>
      </c>
      <c r="I56" s="5" t="n"/>
      <c r="J56" s="5" t="inlineStr">
        <is>
          <t>Feature</t>
        </is>
      </c>
    </row>
    <row r="57" ht="52.8" customHeight="1">
      <c r="A57" s="5" t="inlineStr">
        <is>
          <t>IAS-09</t>
        </is>
      </c>
      <c r="B57" s="5" t="inlineStr">
        <is>
          <t>Kiểm tra Toolbar bảng (Export, Filter, Refresh)</t>
        </is>
      </c>
      <c r="C57" s="5" t="inlineStr">
        <is>
          <t>IAS-09-008</t>
        </is>
      </c>
      <c r="D57" s="5" t="inlineStr">
        <is>
          <t>Refresh khi đang filter</t>
        </is>
      </c>
      <c r="E57" s="5" t="inlineStr">
        <is>
          <t>Đang filter theo Camera ID + Watchlist</t>
        </is>
      </c>
      <c r="F57" s="5" t="inlineStr">
        <is>
          <t>1) Click Refresh.</t>
        </is>
      </c>
      <c r="G57" s="5" t="n"/>
      <c r="H57" s="5" t="inlineStr">
        <is>
          <t>Dữ liệu reload nhưng giữ nguyên filter đang áp dụng. Chỉ cập nhật sự kiện mới thuộc filter.</t>
        </is>
      </c>
      <c r="I57" s="5" t="n"/>
      <c r="J57" s="5" t="inlineStr">
        <is>
          <t>Feature</t>
        </is>
      </c>
    </row>
    <row r="58" ht="52.8" customHeight="1">
      <c r="A58" s="5" t="inlineStr">
        <is>
          <t>IAS-10</t>
        </is>
      </c>
      <c r="B58" s="5" t="inlineStr">
        <is>
          <t>Kiểm tra Action Menu (⋮) - Từng dòng sự kiện</t>
        </is>
      </c>
      <c r="C58" s="5" t="inlineStr">
        <is>
          <t>IAS-10-001</t>
        </is>
      </c>
      <c r="D58" s="5" t="inlineStr">
        <is>
          <t>Hiển thị icon ⋮ trên mỗi dòng</t>
        </is>
      </c>
      <c r="E58" s="5" t="inlineStr">
        <is>
          <t>Có sự kiện trong bảng</t>
        </is>
      </c>
      <c r="F58" s="5" t="inlineStr">
        <is>
          <t>1) Quan sát cột cuối cùng mỗi dòng sự kiện.</t>
        </is>
      </c>
      <c r="G58" s="5" t="n"/>
      <c r="H58" s="5" t="inlineStr">
        <is>
          <t>Mỗi dòng sự kiện có icon ⋮ (3 chấm dọc) ở cột cuối. Icon clickable, hover có hiệu ứng.</t>
        </is>
      </c>
      <c r="I58" s="5" t="n"/>
      <c r="J58" s="5" t="inlineStr">
        <is>
          <t>UI</t>
        </is>
      </c>
    </row>
    <row r="59" ht="79.2" customHeight="1">
      <c r="A59" s="5" t="inlineStr">
        <is>
          <t>IAS-10</t>
        </is>
      </c>
      <c r="B59" s="5" t="inlineStr">
        <is>
          <t>Kiểm tra Action Menu (⋮) - Từng dòng sự kiện</t>
        </is>
      </c>
      <c r="C59" s="5" t="inlineStr">
        <is>
          <t>IAS-10-002</t>
        </is>
      </c>
      <c r="D59" s="5" t="inlineStr">
        <is>
          <t>Click icon ⋮ - Mở context menu</t>
        </is>
      </c>
      <c r="E59" s="5" t="inlineStr">
        <is>
          <t>Có sự kiện</t>
        </is>
      </c>
      <c r="F59" s="5" t="inlineStr">
        <is>
          <t>1) Click icon ⋮ trên 1 dòng sự kiện bất kỳ.</t>
        </is>
      </c>
      <c r="G59" s="5" t="n"/>
      <c r="H59" s="5" t="inlineStr">
        <is>
          <t>Mở dropdown context menu hiển thị 2 option: 1) "😊 Thêm vào khuôn mặt đã tồn tại", 2) "+ Thêm vào danh sách theo dõi". Menu hiển thị đúng vị trí gần icon.</t>
        </is>
      </c>
      <c r="I59" s="5" t="n"/>
      <c r="J59" s="5" t="inlineStr">
        <is>
          <t>Feature</t>
        </is>
      </c>
    </row>
    <row r="60" ht="118.8" customHeight="1">
      <c r="A60" s="5" t="inlineStr">
        <is>
          <t>IAS-10</t>
        </is>
      </c>
      <c r="B60" s="5" t="inlineStr">
        <is>
          <t>Kiểm tra Action Menu (⋮) - Từng dòng sự kiện</t>
        </is>
      </c>
      <c r="C60" s="5" t="inlineStr">
        <is>
          <t>IAS-10-003</t>
        </is>
      </c>
      <c r="D60" s="5" t="inlineStr">
        <is>
          <t>Click "Thêm vào khuôn mặt đã tồn tại"</t>
        </is>
      </c>
      <c r="E60" s="5" t="inlineStr">
        <is>
          <t>Menu context đang mở</t>
        </is>
      </c>
      <c r="F60" s="5" t="inlineStr">
        <is>
          <t>1) Click "Thêm vào khuôn mặt đã tồn tại".</t>
        </is>
      </c>
      <c r="G60" s="5" t="n"/>
      <c r="H60" s="5" t="inlineStr">
        <is>
          <t>Mở popup/dialog cho phép: 1) Tìm kiếm khuôn mặt đã có trong database. 2) Chọn khuôn mặt để gán. 3) Xác nhận → Khuôn mặt sự kiện được gán vào profile đã tồn tại. 4) Cột "Loại danh sách" cập nhật tương ứng (Watchlist/Blacklist).</t>
        </is>
      </c>
      <c r="I60" s="5" t="n"/>
      <c r="J60" s="5" t="inlineStr">
        <is>
          <t>Feature</t>
        </is>
      </c>
    </row>
    <row r="61" ht="39.6" customHeight="1">
      <c r="A61" s="5" t="inlineStr">
        <is>
          <t>IAS-10</t>
        </is>
      </c>
      <c r="B61" s="5" t="inlineStr">
        <is>
          <t>Kiểm tra Action Menu (⋮) - Từng dòng sự kiện</t>
        </is>
      </c>
      <c r="C61" s="5" t="inlineStr">
        <is>
          <t>IAS-10-004</t>
        </is>
      </c>
      <c r="D61" s="5" t="inlineStr">
        <is>
          <t>Thêm vào khuôn mặt đã tồn tại - Hủy</t>
        </is>
      </c>
      <c r="E61" s="5" t="inlineStr">
        <is>
          <t>Popup thêm khuôn mặt đang mở</t>
        </is>
      </c>
      <c r="F61" s="5" t="inlineStr">
        <is>
          <t>1) Click "Hủy"/"Cancel" trên popup.</t>
        </is>
      </c>
      <c r="G61" s="5" t="n"/>
      <c r="H61" s="5" t="inlineStr">
        <is>
          <t>Popup đóng lại. Không có thay đổi nào. Dữ liệu sự kiện giữ nguyên.</t>
        </is>
      </c>
      <c r="I61" s="5" t="n"/>
      <c r="J61" s="5" t="inlineStr">
        <is>
          <t>Negative</t>
        </is>
      </c>
    </row>
    <row r="62" ht="39.6" customHeight="1">
      <c r="A62" s="5" t="inlineStr">
        <is>
          <t>IAS-10</t>
        </is>
      </c>
      <c r="B62" s="5" t="inlineStr">
        <is>
          <t>Kiểm tra Action Menu (⋮) - Từng dòng sự kiện</t>
        </is>
      </c>
      <c r="C62" s="5" t="inlineStr">
        <is>
          <t>IAS-10-005</t>
        </is>
      </c>
      <c r="D62" s="5" t="inlineStr">
        <is>
          <t>Thêm vào khuôn mặt đã tồn tại - Tìm kiếm không có kết quả</t>
        </is>
      </c>
      <c r="E62" s="5" t="inlineStr">
        <is>
          <t>Popup đang mở</t>
        </is>
      </c>
      <c r="F62" s="5" t="inlineStr">
        <is>
          <t>1) Tìm kiếm tên/ID khuôn mặt không tồn tại.</t>
        </is>
      </c>
      <c r="G62" s="5" t="inlineStr">
        <is>
          <t>xyz123</t>
        </is>
      </c>
      <c r="H62" s="5" t="inlineStr">
        <is>
          <t>Hiển thị "Không tìm thấy kết quả" hoặc danh sách trống. Không lỗi.</t>
        </is>
      </c>
      <c r="I62" s="5" t="n"/>
      <c r="J62" s="5" t="inlineStr">
        <is>
          <t>Negative</t>
        </is>
      </c>
    </row>
    <row r="63" ht="118.8" customHeight="1">
      <c r="A63" s="5" t="inlineStr">
        <is>
          <t>IAS-10</t>
        </is>
      </c>
      <c r="B63" s="5" t="inlineStr">
        <is>
          <t>Kiểm tra Action Menu (⋮) - Từng dòng sự kiện</t>
        </is>
      </c>
      <c r="C63" s="5" t="inlineStr">
        <is>
          <t>IAS-10-006</t>
        </is>
      </c>
      <c r="D63" s="5" t="inlineStr">
        <is>
          <t>Click "Thêm vào danh sách theo dõi"</t>
        </is>
      </c>
      <c r="E63" s="5" t="inlineStr">
        <is>
          <t>Menu context đang mở</t>
        </is>
      </c>
      <c r="F63" s="5" t="inlineStr">
        <is>
          <t>1) Click "Thêm vào danh sách theo dõi".</t>
        </is>
      </c>
      <c r="G63" s="5" t="n"/>
      <c r="H63" s="5" t="inlineStr">
        <is>
          <t>Mở popup/dialog cho phép: 1) Nhập thông tin (tên, ghi chú...). 2) Chọn loại danh sách (Watchlist/Blacklist). 3) Xác nhận → Khuôn mặt được thêm vào danh sách theo dõi mới. 4) Thông báo "Thêm thành công". 5) Cột "Loại danh sách" cập nhật.</t>
        </is>
      </c>
      <c r="I63" s="5" t="n"/>
      <c r="J63" s="5" t="inlineStr">
        <is>
          <t>Feature</t>
        </is>
      </c>
    </row>
    <row r="64" ht="26.4" customHeight="1">
      <c r="A64" s="5" t="inlineStr">
        <is>
          <t>IAS-10</t>
        </is>
      </c>
      <c r="B64" s="5" t="inlineStr">
        <is>
          <t>Kiểm tra Action Menu (⋮) - Từng dòng sự kiện</t>
        </is>
      </c>
      <c r="C64" s="5" t="inlineStr">
        <is>
          <t>IAS-10-007</t>
        </is>
      </c>
      <c r="D64" s="5" t="inlineStr">
        <is>
          <t>Thêm vào danh sách theo dõi - Hủy</t>
        </is>
      </c>
      <c r="E64" s="5" t="inlineStr">
        <is>
          <t>Popup thêm danh sách đang mở</t>
        </is>
      </c>
      <c r="F64" s="5" t="inlineStr">
        <is>
          <t>1) Click "Hủy"/"Cancel".</t>
        </is>
      </c>
      <c r="G64" s="5" t="n"/>
      <c r="H64" s="5" t="inlineStr">
        <is>
          <t>Popup đóng. Không thay đổi. Dữ liệu giữ nguyên.</t>
        </is>
      </c>
      <c r="I64" s="5" t="n"/>
      <c r="J64" s="5" t="inlineStr">
        <is>
          <t>Negative</t>
        </is>
      </c>
    </row>
    <row r="65" ht="52.8" customHeight="1">
      <c r="A65" s="5" t="inlineStr">
        <is>
          <t>IAS-10</t>
        </is>
      </c>
      <c r="B65" s="5" t="inlineStr">
        <is>
          <t>Kiểm tra Action Menu (⋮) - Từng dòng sự kiện</t>
        </is>
      </c>
      <c r="C65" s="5" t="inlineStr">
        <is>
          <t>IAS-10-008</t>
        </is>
      </c>
      <c r="D65" s="5" t="inlineStr">
        <is>
          <t>Thêm vào danh sách theo dõi - Không nhập tên</t>
        </is>
      </c>
      <c r="E65" s="5" t="inlineStr">
        <is>
          <t>Popup đang mở</t>
        </is>
      </c>
      <c r="F65" s="5" t="inlineStr">
        <is>
          <t>1) Để trống trường tên. 2) Click Xác nhận.</t>
        </is>
      </c>
      <c r="G65" s="5" t="n"/>
      <c r="H65" s="5" t="inlineStr">
        <is>
          <t>Hiển thị validation error "Vui lòng nhập tên" hoặc trường bắt buộc highlight đỏ. Không cho submit.</t>
        </is>
      </c>
      <c r="I65" s="5" t="n"/>
      <c r="J65" s="5" t="inlineStr">
        <is>
          <t>Negative</t>
        </is>
      </c>
    </row>
    <row r="66" ht="39.6" customHeight="1">
      <c r="A66" s="5" t="inlineStr">
        <is>
          <t>IAS-10</t>
        </is>
      </c>
      <c r="B66" s="5" t="inlineStr">
        <is>
          <t>Kiểm tra Action Menu (⋮) - Từng dòng sự kiện</t>
        </is>
      </c>
      <c r="C66" s="5" t="inlineStr">
        <is>
          <t>IAS-10-009</t>
        </is>
      </c>
      <c r="D66" s="5" t="inlineStr">
        <is>
          <t>Đóng context menu khi click ra ngoài</t>
        </is>
      </c>
      <c r="E66" s="5" t="inlineStr">
        <is>
          <t>Menu context đang mở</t>
        </is>
      </c>
      <c r="F66" s="5" t="inlineStr">
        <is>
          <t>1) Click vào bất kỳ vùng nào ngoài menu.</t>
        </is>
      </c>
      <c r="G66" s="5" t="n"/>
      <c r="H66" s="5" t="inlineStr">
        <is>
          <t>Context menu tự động đóng lại. Không ảnh hưởng dữ liệu.</t>
        </is>
      </c>
      <c r="I66" s="5" t="n"/>
      <c r="J66" s="5" t="inlineStr">
        <is>
          <t>Feature</t>
        </is>
      </c>
    </row>
    <row r="67" ht="39.6" customHeight="1">
      <c r="A67" s="5" t="inlineStr">
        <is>
          <t>IAS-10</t>
        </is>
      </c>
      <c r="B67" s="5" t="inlineStr">
        <is>
          <t>Kiểm tra Action Menu (⋮) - Từng dòng sự kiện</t>
        </is>
      </c>
      <c r="C67" s="5" t="inlineStr">
        <is>
          <t>IAS-10-010</t>
        </is>
      </c>
      <c r="D67" s="5" t="inlineStr">
        <is>
          <t>Click ⋮ dòng khác khi menu đang mở</t>
        </is>
      </c>
      <c r="E67" s="5" t="inlineStr">
        <is>
          <t>Menu context dòng 1 đang mở</t>
        </is>
      </c>
      <c r="F67" s="5" t="inlineStr">
        <is>
          <t>1) Click ⋮ trên dòng 2.</t>
        </is>
      </c>
      <c r="G67" s="5" t="n"/>
      <c r="H67" s="5" t="inlineStr">
        <is>
          <t>Menu dòng 1 đóng. Menu dòng 2 mở. Hiển thị đúng option cho dòng 2.</t>
        </is>
      </c>
      <c r="I67" s="5" t="n"/>
      <c r="J67" s="5" t="inlineStr">
        <is>
          <t>Feature</t>
        </is>
      </c>
    </row>
    <row r="68" ht="105.6" customHeight="1">
      <c r="A68" s="5" t="inlineStr">
        <is>
          <t>IAS-10</t>
        </is>
      </c>
      <c r="B68" s="5" t="inlineStr">
        <is>
          <t>Kiểm tra Action Menu (⋮) - Từng dòng sự kiện</t>
        </is>
      </c>
      <c r="C68" s="5" t="inlineStr">
        <is>
          <t>IAS-10-011</t>
        </is>
      </c>
      <c r="D68" s="5" t="inlineStr">
        <is>
          <t>Thêm khuôn mặt đã tồn tại - Xác nhận thành công</t>
        </is>
      </c>
      <c r="E68" s="5" t="inlineStr">
        <is>
          <t>Popup mở, đã chọn khuôn mặt</t>
        </is>
      </c>
      <c r="F68" s="5" t="inlineStr">
        <is>
          <t>1) Tìm và chọn khuôn mặt. 2) Click Xác nhận.</t>
        </is>
      </c>
      <c r="G68" s="5" t="n"/>
      <c r="H68" s="5" t="inlineStr">
        <is>
          <t>1) Thông báo "Cập nhật thành công". 2) Cột "Khuôn mặt mục tiêu" cập nhật ảnh mới. 3) Cột "Loại danh sách" cập nhật (nếu khuôn mặt thuộc Watchlist/Blacklist). 4) % match cập nhật.</t>
        </is>
      </c>
      <c r="I68" s="5" t="n"/>
      <c r="J68" s="5" t="inlineStr">
        <is>
          <t>Feature</t>
        </is>
      </c>
    </row>
    <row r="69" ht="79.2" customHeight="1">
      <c r="A69" s="5" t="inlineStr">
        <is>
          <t>IAS-10</t>
        </is>
      </c>
      <c r="B69" s="5" t="inlineStr">
        <is>
          <t>Kiểm tra Action Menu (⋮) - Từng dòng sự kiện</t>
        </is>
      </c>
      <c r="C69" s="5" t="inlineStr">
        <is>
          <t>IAS-10-012</t>
        </is>
      </c>
      <c r="D69" s="5" t="inlineStr">
        <is>
          <t>Thêm vào danh sách theo dõi - Xác nhận thành công thêm Watchlist</t>
        </is>
      </c>
      <c r="E69" s="5" t="inlineStr">
        <is>
          <t>Popup mở</t>
        </is>
      </c>
      <c r="F69" s="5" t="inlineStr">
        <is>
          <t>1) Nhập tên. 2) Chọn "Watchlist". 3) Click Xác nhận.</t>
        </is>
      </c>
      <c r="G69" s="5" t="n"/>
      <c r="H69" s="5" t="inlineStr">
        <is>
          <t>1) Thông báo "Thêm thành công". 2) Cột "Loại danh sách" dòng đó chuyển thành "Watchlist". 3) Khuôn mặt xuất hiện trong tab "Danh sách theo dõi".</t>
        </is>
      </c>
      <c r="I69" s="5" t="n"/>
      <c r="J69" s="5" t="inlineStr">
        <is>
          <t>Feature</t>
        </is>
      </c>
    </row>
    <row r="70" ht="66" customHeight="1">
      <c r="A70" s="5" t="inlineStr">
        <is>
          <t>IAS-10</t>
        </is>
      </c>
      <c r="B70" s="5" t="inlineStr">
        <is>
          <t>Kiểm tra Action Menu (⋮) - Từng dòng sự kiện</t>
        </is>
      </c>
      <c r="C70" s="5" t="inlineStr">
        <is>
          <t>IAS-10-013</t>
        </is>
      </c>
      <c r="D70" s="5" t="inlineStr">
        <is>
          <t>Thêm vào danh sách theo dõi - Xác nhận thành công thêm Blacklist</t>
        </is>
      </c>
      <c r="E70" s="5" t="inlineStr">
        <is>
          <t>Popup mở</t>
        </is>
      </c>
      <c r="F70" s="5" t="inlineStr">
        <is>
          <t>1) Nhập tên. 2) Chọn "Blacklist". 3) Click Xác nhận.</t>
        </is>
      </c>
      <c r="G70" s="5" t="n"/>
      <c r="H70" s="5" t="inlineStr">
        <is>
          <t>1) Thông báo "Thêm thành công". 2) Cột "Loại danh sách" chuyển thành "Blacklist". 3) Khuôn mặt xuất hiện trong Blacklist.</t>
        </is>
      </c>
      <c r="I70" s="5" t="n"/>
      <c r="J70" s="5" t="inlineStr">
        <is>
          <t>Feature</t>
        </is>
      </c>
    </row>
    <row r="71" ht="52.8" customHeight="1">
      <c r="A71" s="5" t="inlineStr">
        <is>
          <t>IAS-11</t>
        </is>
      </c>
      <c r="B71" s="5" t="inlineStr">
        <is>
          <t>Kiểm tra Loại danh sách &amp; Tag hiển thị</t>
        </is>
      </c>
      <c r="C71" s="5" t="inlineStr">
        <is>
          <t>IAS-11-001</t>
        </is>
      </c>
      <c r="D71" s="5" t="inlineStr">
        <is>
          <t>Tag "Chưa xác định" hiển thị đúng</t>
        </is>
      </c>
      <c r="E71" s="5" t="inlineStr">
        <is>
          <t>Sự kiện chưa được gán danh sách</t>
        </is>
      </c>
      <c r="F71" s="5" t="inlineStr">
        <is>
          <t>1) Quan sát cột "Loại danh sách" sự kiện mới.</t>
        </is>
      </c>
      <c r="G71" s="5" t="n"/>
      <c r="H71" s="5" t="inlineStr">
        <is>
          <t>Hiển thị tag "Chưa xác định" với style: background xám nhạt, text xám, border radius đúng thiết kế.</t>
        </is>
      </c>
      <c r="I71" s="5" t="n"/>
      <c r="J71" s="5" t="inlineStr">
        <is>
          <t>UI</t>
        </is>
      </c>
    </row>
    <row r="72" ht="39.6" customHeight="1">
      <c r="A72" s="5" t="inlineStr">
        <is>
          <t>IAS-11</t>
        </is>
      </c>
      <c r="B72" s="5" t="inlineStr">
        <is>
          <t>Kiểm tra Loại danh sách &amp; Tag hiển thị</t>
        </is>
      </c>
      <c r="C72" s="5" t="inlineStr">
        <is>
          <t>IAS-11-002</t>
        </is>
      </c>
      <c r="D72" s="5" t="inlineStr">
        <is>
          <t>Tag "Watchlist" hiển thị đúng</t>
        </is>
      </c>
      <c r="E72" s="5" t="inlineStr">
        <is>
          <t>Sự kiện thuộc Watchlist</t>
        </is>
      </c>
      <c r="F72" s="5" t="inlineStr">
        <is>
          <t>1) Quan sát sự kiện thuộc Watchlist.</t>
        </is>
      </c>
      <c r="G72" s="5" t="n"/>
      <c r="H72" s="5" t="inlineStr">
        <is>
          <t>Tag "Watchlist" hiển thị với màu sắc khác biệt (VD: xanh/vàng) theo thiết kế.</t>
        </is>
      </c>
      <c r="I72" s="5" t="n"/>
      <c r="J72" s="5" t="inlineStr">
        <is>
          <t>UI</t>
        </is>
      </c>
    </row>
    <row r="73" ht="39.6" customHeight="1">
      <c r="A73" s="5" t="inlineStr">
        <is>
          <t>IAS-11</t>
        </is>
      </c>
      <c r="B73" s="5" t="inlineStr">
        <is>
          <t>Kiểm tra Loại danh sách &amp; Tag hiển thị</t>
        </is>
      </c>
      <c r="C73" s="5" t="inlineStr">
        <is>
          <t>IAS-11-003</t>
        </is>
      </c>
      <c r="D73" s="5" t="inlineStr">
        <is>
          <t>Tag "Blacklist" hiển thị đúng</t>
        </is>
      </c>
      <c r="E73" s="5" t="inlineStr">
        <is>
          <t>Sự kiện thuộc Blacklist</t>
        </is>
      </c>
      <c r="F73" s="5" t="inlineStr">
        <is>
          <t>1) Quan sát sự kiện thuộc Blacklist.</t>
        </is>
      </c>
      <c r="G73" s="5" t="n"/>
      <c r="H73" s="5" t="inlineStr">
        <is>
          <t>Tag "Blacklist" hiển thị với màu sắc cảnh báo (VD: đỏ) theo thiết kế.</t>
        </is>
      </c>
      <c r="I73" s="5" t="n"/>
      <c r="J73" s="5" t="inlineStr">
        <is>
          <t>UI</t>
        </is>
      </c>
    </row>
    <row r="74" ht="52.8" customHeight="1">
      <c r="A74" s="5" t="inlineStr">
        <is>
          <t>IAS-11</t>
        </is>
      </c>
      <c r="B74" s="5" t="inlineStr">
        <is>
          <t>Kiểm tra Loại danh sách &amp; Tag hiển thị</t>
        </is>
      </c>
      <c r="C74" s="5" t="inlineStr">
        <is>
          <t>IAS-11-004</t>
        </is>
      </c>
      <c r="D74" s="5" t="inlineStr">
        <is>
          <t>Tag cập nhật sau khi thêm vào danh sách</t>
        </is>
      </c>
      <c r="E74" s="5" t="inlineStr">
        <is>
          <t>Sự kiện "Chưa xác định", đã thêm vào Watchlist</t>
        </is>
      </c>
      <c r="F74" s="5" t="inlineStr">
        <is>
          <t>1) Kiểm tra cột "Loại danh sách" sau action thêm.</t>
        </is>
      </c>
      <c r="G74" s="5" t="n"/>
      <c r="H74" s="5" t="inlineStr">
        <is>
          <t>Tag chuyển từ "Chưa xác định" → "Watchlist" (hoặc "Blacklist") ngay lập tức, không cần refresh.</t>
        </is>
      </c>
      <c r="I74" s="5" t="n"/>
      <c r="J74" s="5" t="inlineStr">
        <is>
          <t>Feature</t>
        </is>
      </c>
    </row>
    <row r="75" ht="66" customHeight="1">
      <c r="A75" s="5" t="inlineStr">
        <is>
          <t>IAS-12</t>
        </is>
      </c>
      <c r="B75" s="5" t="inlineStr">
        <is>
          <t>Kiểm tra % độ khớp khuôn mặt</t>
        </is>
      </c>
      <c r="C75" s="5" t="inlineStr">
        <is>
          <t>IAS-12-001</t>
        </is>
      </c>
      <c r="D75" s="5" t="inlineStr">
        <is>
          <t>% match hiển thị đúng format</t>
        </is>
      </c>
      <c r="E75" s="5" t="inlineStr">
        <is>
          <t>Có sự kiện match</t>
        </is>
      </c>
      <c r="F75" s="5" t="inlineStr">
        <is>
          <t>1) Quan sát badge % trên hình khuôn mặt mục tiêu.</t>
        </is>
      </c>
      <c r="G75" s="5" t="n"/>
      <c r="H75" s="5" t="inlineStr">
        <is>
          <t>Format XX.XX% (VD: 20.06%, 21.30%, 17.44%). Badge nằm góc dưới phải hình, nền tối, text trắng, đọc được rõ ràng.</t>
        </is>
      </c>
      <c r="I75" s="5" t="n"/>
      <c r="J75" s="5" t="inlineStr">
        <is>
          <t>UI</t>
        </is>
      </c>
    </row>
    <row r="76" ht="39.6" customHeight="1">
      <c r="A76" s="5" t="inlineStr">
        <is>
          <t>IAS-12</t>
        </is>
      </c>
      <c r="B76" s="5" t="inlineStr">
        <is>
          <t>Kiểm tra % độ khớp khuôn mặt</t>
        </is>
      </c>
      <c r="C76" s="5" t="inlineStr">
        <is>
          <t>IAS-12-002</t>
        </is>
      </c>
      <c r="D76" s="5" t="inlineStr">
        <is>
          <t>% match = 0% hoặc rất thấp</t>
        </is>
      </c>
      <c r="E76" s="5" t="inlineStr">
        <is>
          <t>Engine trả về match rất thấp</t>
        </is>
      </c>
      <c r="F76" s="5" t="inlineStr">
        <is>
          <t>1) Quan sát sự kiện có % thấp.</t>
        </is>
      </c>
      <c r="G76" s="5" t="n"/>
      <c r="H76" s="5" t="inlineStr">
        <is>
          <t>Hiển thị đúng giá trị (VD: 0.00% hoặc 5.23%). Không bị ẩn, không lỗi.</t>
        </is>
      </c>
      <c r="I76" s="5" t="n"/>
      <c r="J76" s="5" t="inlineStr">
        <is>
          <t>Feature</t>
        </is>
      </c>
    </row>
    <row r="77" ht="26.4" customHeight="1">
      <c r="A77" s="5" t="inlineStr">
        <is>
          <t>IAS-12</t>
        </is>
      </c>
      <c r="B77" s="5" t="inlineStr">
        <is>
          <t>Kiểm tra % độ khớp khuôn mặt</t>
        </is>
      </c>
      <c r="C77" s="5" t="inlineStr">
        <is>
          <t>IAS-12-003</t>
        </is>
      </c>
      <c r="D77" s="5" t="inlineStr">
        <is>
          <t>% match = 100%</t>
        </is>
      </c>
      <c r="E77" s="5" t="inlineStr">
        <is>
          <t>Engine trả về match hoàn hảo</t>
        </is>
      </c>
      <c r="F77" s="5" t="inlineStr">
        <is>
          <t>1) Quan sát sự kiện có % = 100%.</t>
        </is>
      </c>
      <c r="G77" s="5" t="n"/>
      <c r="H77" s="5" t="inlineStr">
        <is>
          <t>Hiển thị "100.00%". Badge không bị tràn/bể layout.</t>
        </is>
      </c>
      <c r="I77" s="5" t="n"/>
      <c r="J77" s="5" t="inlineStr">
        <is>
          <t>Boundary</t>
        </is>
      </c>
    </row>
    <row r="78" ht="39.6" customHeight="1">
      <c r="A78" s="5" t="inlineStr">
        <is>
          <t>IAS-12</t>
        </is>
      </c>
      <c r="B78" s="5" t="inlineStr">
        <is>
          <t>Kiểm tra % độ khớp khuôn mặt</t>
        </is>
      </c>
      <c r="C78" s="5" t="inlineStr">
        <is>
          <t>IAS-12-004</t>
        </is>
      </c>
      <c r="D78" s="5" t="inlineStr">
        <is>
          <t>Giá trị % match đúng với backend</t>
        </is>
      </c>
      <c r="E78" s="5" t="inlineStr">
        <is>
          <t>Có sự kiện</t>
        </is>
      </c>
      <c r="F78" s="5" t="inlineStr">
        <is>
          <t>1) Lấy giá trị % từ API/backend. 2) So sánh với UI.</t>
        </is>
      </c>
      <c r="G78" s="5" t="n"/>
      <c r="H78" s="5" t="inlineStr">
        <is>
          <t>Giá trị UI khớp 100% với giá trị backend. Không làm tròn sai.</t>
        </is>
      </c>
      <c r="I78" s="5" t="n"/>
      <c r="J78" s="5" t="inlineStr">
        <is>
          <t>Feature</t>
        </is>
      </c>
    </row>
    <row r="79" ht="66" customHeight="1">
      <c r="A79" s="5" t="inlineStr">
        <is>
          <t>IAS-13</t>
        </is>
      </c>
      <c r="B79" s="5" t="inlineStr">
        <is>
          <t>Kiểm tra sắp xếp &amp; thứ tự dữ liệu</t>
        </is>
      </c>
      <c r="C79" s="5" t="inlineStr">
        <is>
          <t>IAS-13-001</t>
        </is>
      </c>
      <c r="D79" s="5" t="inlineStr">
        <is>
          <t>Sắp xếp mặc định theo thời gian mới nhất</t>
        </is>
      </c>
      <c r="E79" s="5" t="inlineStr">
        <is>
          <t>Có nhiều sự kiện</t>
        </is>
      </c>
      <c r="F79" s="5" t="inlineStr">
        <is>
          <t>1) Mở tab Giám sát. 2) Quan sát thứ tự cột "Thời gian".</t>
        </is>
      </c>
      <c r="G79" s="5" t="n"/>
      <c r="H79" s="5" t="inlineStr">
        <is>
          <t>Sự kiện mới nhất hiển thị ở dòng đầu tiên (24/02/2026 12:01:12 trước 24/02/2026 09:37:49...). Thứ tự giảm dần theo thời gian.</t>
        </is>
      </c>
      <c r="I79" s="5" t="n"/>
      <c r="J79" s="5" t="inlineStr">
        <is>
          <t>Feature</t>
        </is>
      </c>
    </row>
    <row r="80" ht="52.8" customHeight="1">
      <c r="A80" s="5" t="inlineStr">
        <is>
          <t>IAS-13</t>
        </is>
      </c>
      <c r="B80" s="5" t="inlineStr">
        <is>
          <t>Kiểm tra sắp xếp &amp; thứ tự dữ liệu</t>
        </is>
      </c>
      <c r="C80" s="5" t="inlineStr">
        <is>
          <t>IAS-13-002</t>
        </is>
      </c>
      <c r="D80" s="5" t="inlineStr">
        <is>
          <t>Click header cột "Thời gian" để sort</t>
        </is>
      </c>
      <c r="E80" s="5" t="inlineStr">
        <is>
          <t>Có nhiều sự kiện</t>
        </is>
      </c>
      <c r="F80" s="5" t="inlineStr">
        <is>
          <t>1) Click vào header "Thời gian".</t>
        </is>
      </c>
      <c r="G80" s="5" t="n"/>
      <c r="H80" s="5" t="inlineStr">
        <is>
          <t>Đổi thứ tự sort: giảm dần → tăng dần → mặc định. Icon sort arrow hiển thị đúng hướng.</t>
        </is>
      </c>
      <c r="I80" s="5" t="n"/>
      <c r="J80" s="5" t="inlineStr">
        <is>
          <t>Feature</t>
        </is>
      </c>
    </row>
    <row r="81" ht="39.6" customHeight="1">
      <c r="A81" s="5" t="inlineStr">
        <is>
          <t>IAS-13</t>
        </is>
      </c>
      <c r="B81" s="5" t="inlineStr">
        <is>
          <t>Kiểm tra sắp xếp &amp; thứ tự dữ liệu</t>
        </is>
      </c>
      <c r="C81" s="5" t="inlineStr">
        <is>
          <t>IAS-13-003</t>
        </is>
      </c>
      <c r="D81" s="5" t="inlineStr">
        <is>
          <t>Click header cột "Mã camera" để sort</t>
        </is>
      </c>
      <c r="E81" s="5" t="inlineStr">
        <is>
          <t>Có nhiều sự kiện</t>
        </is>
      </c>
      <c r="F81" s="5" t="inlineStr">
        <is>
          <t>1) Click vào header "Mã camera".</t>
        </is>
      </c>
      <c r="G81" s="5" t="n"/>
      <c r="H81" s="5" t="inlineStr">
        <is>
          <t>Sắp xếp theo tên camera A→Z hoặc Z→A. Dữ liệu đúng.</t>
        </is>
      </c>
      <c r="I81" s="5" t="n"/>
      <c r="J81" s="5" t="inlineStr">
        <is>
          <t>Feature</t>
        </is>
      </c>
    </row>
    <row r="82" ht="39.6" customHeight="1">
      <c r="A82" s="5" t="inlineStr">
        <is>
          <t>IAS-14</t>
        </is>
      </c>
      <c r="B82" s="5" t="inlineStr">
        <is>
          <t>Kiểm tra quyền truy cập</t>
        </is>
      </c>
      <c r="C82" s="5" t="inlineStr">
        <is>
          <t>IAS-14-001</t>
        </is>
      </c>
      <c r="D82" s="5" t="inlineStr">
        <is>
          <t>User có quyền xem trang Định danh và an ninh</t>
        </is>
      </c>
      <c r="E82" s="5" t="inlineStr">
        <is>
          <t>Đăng nhập user có quyền</t>
        </is>
      </c>
      <c r="F82" s="5" t="inlineStr">
        <is>
          <t>1) Truy cập trang Định danh và an ninh.</t>
        </is>
      </c>
      <c r="G82" s="5" t="n"/>
      <c r="H82" s="5" t="inlineStr">
        <is>
          <t>Hiển thị đầy đủ tab, bảng, filter, action. Dữ liệu load đúng.</t>
        </is>
      </c>
      <c r="I82" s="5" t="n"/>
      <c r="J82" s="5" t="inlineStr">
        <is>
          <t>Feature</t>
        </is>
      </c>
    </row>
    <row r="83" ht="52.8" customHeight="1">
      <c r="A83" s="5" t="inlineStr">
        <is>
          <t>IAS-14</t>
        </is>
      </c>
      <c r="B83" s="5" t="inlineStr">
        <is>
          <t>Kiểm tra quyền truy cập</t>
        </is>
      </c>
      <c r="C83" s="5" t="inlineStr">
        <is>
          <t>IAS-14-002</t>
        </is>
      </c>
      <c r="D83" s="5" t="inlineStr">
        <is>
          <t>User không có quyền xem</t>
        </is>
      </c>
      <c r="E83" s="5" t="inlineStr">
        <is>
          <t>Đăng nhập user không có quyền module Video Analytic</t>
        </is>
      </c>
      <c r="F83" s="5" t="inlineStr">
        <is>
          <t>1) Truy cập URL /video-analytic/ias.</t>
        </is>
      </c>
      <c r="G83" s="5" t="n"/>
      <c r="H83" s="5" t="inlineStr">
        <is>
          <t>Hiển thị thông báo "Bạn không có quyền truy cập" hoặc redirect. Không hiển thị dữ liệu nhạy cảm.</t>
        </is>
      </c>
      <c r="I83" s="5" t="n"/>
      <c r="J83" s="5" t="inlineStr">
        <is>
          <t>Security</t>
        </is>
      </c>
    </row>
    <row r="84" ht="52.8" customHeight="1">
      <c r="A84" s="5" t="inlineStr">
        <is>
          <t>IAS-14</t>
        </is>
      </c>
      <c r="B84" s="5" t="inlineStr">
        <is>
          <t>Kiểm tra quyền truy cập</t>
        </is>
      </c>
      <c r="C84" s="5" t="inlineStr">
        <is>
          <t>IAS-14-003</t>
        </is>
      </c>
      <c r="D84" s="5" t="inlineStr">
        <is>
          <t>User chỉ có quyền xem (Viewer) - Không có action ⋮</t>
        </is>
      </c>
      <c r="E84" s="5" t="inlineStr">
        <is>
          <t>Đăng nhập tài khoản Viewer</t>
        </is>
      </c>
      <c r="F84" s="5" t="inlineStr">
        <is>
          <t>1) Mở tab Giám sát. 2) Quan sát cột action.</t>
        </is>
      </c>
      <c r="G84" s="5" t="n"/>
      <c r="H84" s="5" t="inlineStr">
        <is>
          <t>Icon ⋮ bị ẩn hoặc disable. User không thể thêm vào danh sách/khuôn mặt. Chỉ xem được dữ liệu.</t>
        </is>
      </c>
      <c r="I84" s="5" t="n"/>
      <c r="J84" s="5" t="inlineStr">
        <is>
          <t>Security</t>
        </is>
      </c>
    </row>
    <row r="85" ht="52.8" customHeight="1">
      <c r="A85" s="5" t="inlineStr">
        <is>
          <t>IAS-14</t>
        </is>
      </c>
      <c r="B85" s="5" t="inlineStr">
        <is>
          <t>Kiểm tra quyền truy cập</t>
        </is>
      </c>
      <c r="C85" s="5" t="inlineStr">
        <is>
          <t>IAS-14-004</t>
        </is>
      </c>
      <c r="D85" s="5" t="inlineStr">
        <is>
          <t>User có quyền chỉ xem 1 số camera</t>
        </is>
      </c>
      <c r="E85" s="5" t="inlineStr">
        <is>
          <t>Đăng nhập user bị giới hạn camera</t>
        </is>
      </c>
      <c r="F85" s="5" t="inlineStr">
        <is>
          <t>1) Mở tab Giám sát.</t>
        </is>
      </c>
      <c r="G85" s="5" t="n"/>
      <c r="H85" s="5" t="inlineStr">
        <is>
          <t>Chỉ hiển thị sự kiện từ camera user có quyền. Dropdown Camera ID chỉ hiển thị camera được phép.</t>
        </is>
      </c>
      <c r="I85" s="5" t="n"/>
      <c r="J85" s="5" t="inlineStr">
        <is>
          <t>Security</t>
        </is>
      </c>
    </row>
    <row r="86" ht="66" customHeight="1">
      <c r="A86" s="5" t="inlineStr">
        <is>
          <t>IAS-15</t>
        </is>
      </c>
      <c r="B86" s="5" t="inlineStr">
        <is>
          <t>Kiểm tra Responsive &amp; Cross-browser</t>
        </is>
      </c>
      <c r="C86" s="5" t="inlineStr">
        <is>
          <t>IAS-15-001</t>
        </is>
      </c>
      <c r="D86" s="5" t="inlineStr">
        <is>
          <t>Responsive trên laptop/PC</t>
        </is>
      </c>
      <c r="E86" s="5" t="inlineStr">
        <is>
          <t>Mở trên Chrome/Edge/Safari, màn hình ≥ 1024px</t>
        </is>
      </c>
      <c r="F86" s="5" t="inlineStr">
        <is>
          <t>1) Resize trình duyệt: 1440→1280→1024px. 2) Quan sát.</t>
        </is>
      </c>
      <c r="G86" s="5" t="n"/>
      <c r="H86" s="5" t="inlineStr">
        <is>
          <t>Bố cục hợp lý. Bảng không bị tràn. Hình ảnh không bể. Header cột đọc được. Có scroll ngang nếu cần ở breakpoint nhỏ.</t>
        </is>
      </c>
      <c r="I86" s="5" t="n"/>
      <c r="J86" s="5" t="inlineStr">
        <is>
          <t>Smoke</t>
        </is>
      </c>
    </row>
    <row r="87" ht="52.8" customHeight="1">
      <c r="A87" s="5" t="inlineStr">
        <is>
          <t>IAS-15</t>
        </is>
      </c>
      <c r="B87" s="5" t="inlineStr">
        <is>
          <t>Kiểm tra Responsive &amp; Cross-browser</t>
        </is>
      </c>
      <c r="C87" s="5" t="inlineStr">
        <is>
          <t>IAS-15-002</t>
        </is>
      </c>
      <c r="D87" s="5" t="inlineStr">
        <is>
          <t>Responsive trên tablet</t>
        </is>
      </c>
      <c r="E87" s="5" t="inlineStr">
        <is>
          <t>Mở trên tablet/emulator (768px)</t>
        </is>
      </c>
      <c r="F87" s="5" t="inlineStr">
        <is>
          <t>1) Mở trang trên tablet.</t>
        </is>
      </c>
      <c r="G87" s="5" t="n"/>
      <c r="H87" s="5" t="inlineStr">
        <is>
          <t>Layout responsive phù hợp. Sidebar có thể thu gọn. Bảng có scroll ngang. Các filter vẫn sử dụng được.</t>
        </is>
      </c>
      <c r="I87" s="5" t="n"/>
      <c r="J87" s="5" t="inlineStr">
        <is>
          <t>Smoke</t>
        </is>
      </c>
    </row>
    <row r="88" ht="52.8" customHeight="1">
      <c r="A88" s="5" t="inlineStr">
        <is>
          <t>IAS-15</t>
        </is>
      </c>
      <c r="B88" s="5" t="inlineStr">
        <is>
          <t>Kiểm tra Responsive &amp; Cross-browser</t>
        </is>
      </c>
      <c r="C88" s="5" t="inlineStr">
        <is>
          <t>IAS-15-003</t>
        </is>
      </c>
      <c r="D88" s="5" t="inlineStr">
        <is>
          <t>Cross-browser: Chrome, Edge, Firefox, Safari</t>
        </is>
      </c>
      <c r="E88" s="5" t="inlineStr">
        <is>
          <t>Mở trên nhiều trình duyệt</t>
        </is>
      </c>
      <c r="F88" s="5" t="inlineStr">
        <is>
          <t>1) Mở trang trên Chrome. 2) Mở trên Edge. 3) Mở trên Firefox. 4) Mở trên Safari.</t>
        </is>
      </c>
      <c r="G88" s="5" t="n"/>
      <c r="H88" s="5" t="inlineStr">
        <is>
          <t>Giao diện hiển thị đồng nhất. Chức năng hoạt động bình thường trên tất cả trình duyệt. Không lỗi CSS/JS.</t>
        </is>
      </c>
      <c r="I88" s="5" t="n"/>
      <c r="J88" s="5" t="inlineStr">
        <is>
          <t>Compatibility</t>
        </is>
      </c>
    </row>
    <row r="89" ht="39.6" customHeight="1">
      <c r="A89" s="5" t="inlineStr">
        <is>
          <t>IAS-16</t>
        </is>
      </c>
      <c r="B89" s="5" t="inlineStr">
        <is>
          <t>Kiểm tra Performance</t>
        </is>
      </c>
      <c r="C89" s="5" t="inlineStr">
        <is>
          <t>IAS-16-001</t>
        </is>
      </c>
      <c r="D89" s="5" t="inlineStr">
        <is>
          <t>Thời gian load trang</t>
        </is>
      </c>
      <c r="E89" s="5" t="inlineStr">
        <is>
          <t>Mạng ổn định</t>
        </is>
      </c>
      <c r="F89" s="5" t="inlineStr">
        <is>
          <t>1) Click menu "Định danh và an ninh". 2) Đo thời gian load.</t>
        </is>
      </c>
      <c r="G89" s="5" t="n"/>
      <c r="H89" s="5" t="inlineStr">
        <is>
          <t>Trang load hoàn chỉnh (bảng, hình ảnh, filter) ≤ 3 giây.</t>
        </is>
      </c>
      <c r="I89" s="5" t="n"/>
      <c r="J89" s="5" t="inlineStr">
        <is>
          <t>Performance</t>
        </is>
      </c>
    </row>
    <row r="90" ht="52.8" customHeight="1">
      <c r="A90" s="5" t="inlineStr">
        <is>
          <t>IAS-16</t>
        </is>
      </c>
      <c r="B90" s="5" t="inlineStr">
        <is>
          <t>Kiểm tra Performance</t>
        </is>
      </c>
      <c r="C90" s="5" t="inlineStr">
        <is>
          <t>IAS-16-002</t>
        </is>
      </c>
      <c r="D90" s="5" t="inlineStr">
        <is>
          <t>Thời gian load hình ảnh khuôn mặt</t>
        </is>
      </c>
      <c r="E90" s="5" t="inlineStr">
        <is>
          <t>Có nhiều sự kiện</t>
        </is>
      </c>
      <c r="F90" s="5" t="inlineStr">
        <is>
          <t>1) Quan sát thời gian load thumbnail.</t>
        </is>
      </c>
      <c r="G90" s="5" t="n"/>
      <c r="H90" s="5" t="inlineStr">
        <is>
          <t>Hình ảnh thumbnail load ≤ 2 giây. Có placeholder/skeleton trong lúc load. Không bị flicker.</t>
        </is>
      </c>
      <c r="I90" s="5" t="n"/>
      <c r="J90" s="5" t="inlineStr">
        <is>
          <t>Performance</t>
        </is>
      </c>
    </row>
    <row r="91" ht="66" customHeight="1">
      <c r="A91" s="5" t="inlineStr">
        <is>
          <t>IAS-16</t>
        </is>
      </c>
      <c r="B91" s="5" t="inlineStr">
        <is>
          <t>Kiểm tra Performance</t>
        </is>
      </c>
      <c r="C91" s="5" t="inlineStr">
        <is>
          <t>IAS-16-003</t>
        </is>
      </c>
      <c r="D91" s="5" t="inlineStr">
        <is>
          <t>Bảng có &gt; 100 sự kiện</t>
        </is>
      </c>
      <c r="E91" s="5" t="inlineStr">
        <is>
          <t>Có &gt; 100 sự kiện</t>
        </is>
      </c>
      <c r="F91" s="5" t="inlineStr">
        <is>
          <t>1) Load trang. 2) Scroll qua toàn bộ.</t>
        </is>
      </c>
      <c r="G91" s="5" t="n"/>
      <c r="H91" s="5" t="inlineStr">
        <is>
          <t>Trang không bị chậm/đơ. Scroll smooth. Nếu có pagination thì chuyển trang nhanh. Nếu infinite scroll thì lazy load hình ảnh.</t>
        </is>
      </c>
      <c r="I91" s="5" t="n"/>
      <c r="J91" s="5" t="inlineStr">
        <is>
          <t>Performance</t>
        </is>
      </c>
    </row>
    <row r="92" ht="39.6" customHeight="1">
      <c r="A92" s="5" t="inlineStr">
        <is>
          <t>IAS-17</t>
        </is>
      </c>
      <c r="B92" s="5" t="inlineStr">
        <is>
          <t>Kiểm tra mất kết nối &amp; lỗi</t>
        </is>
      </c>
      <c r="C92" s="5" t="inlineStr">
        <is>
          <t>IAS-17-001</t>
        </is>
      </c>
      <c r="D92" s="5" t="inlineStr">
        <is>
          <t>Mất kết nối internet</t>
        </is>
      </c>
      <c r="E92" s="5" t="inlineStr">
        <is>
          <t>Đang ở tab Giám sát</t>
        </is>
      </c>
      <c r="F92" s="5" t="inlineStr">
        <is>
          <t>1) Ngắt internet. 2) Quan sát.</t>
        </is>
      </c>
      <c r="G92" s="5" t="n"/>
      <c r="H92" s="5" t="inlineStr">
        <is>
          <t>Hiển thị thông báo "Mất kết nối". Giữ dữ liệu cuối cùng. Tự cập nhật khi có kết nối lại.</t>
        </is>
      </c>
      <c r="I92" s="5" t="n"/>
      <c r="J92" s="5" t="inlineStr">
        <is>
          <t>Negative</t>
        </is>
      </c>
    </row>
    <row r="93" ht="52.8" customHeight="1">
      <c r="A93" s="5" t="inlineStr">
        <is>
          <t>IAS-17</t>
        </is>
      </c>
      <c r="B93" s="5" t="inlineStr">
        <is>
          <t>Kiểm tra mất kết nối &amp; lỗi</t>
        </is>
      </c>
      <c r="C93" s="5" t="inlineStr">
        <is>
          <t>IAS-17-002</t>
        </is>
      </c>
      <c r="D93" s="5" t="inlineStr">
        <is>
          <t>Camera offline - Sự kiện ngừng</t>
        </is>
      </c>
      <c r="E93" s="5" t="inlineStr">
        <is>
          <t>Camera mất kết nối</t>
        </is>
      </c>
      <c r="F93" s="5" t="inlineStr">
        <is>
          <t>1) Ngắt camera. 2) Quan sát bảng.</t>
        </is>
      </c>
      <c r="G93" s="5" t="n"/>
      <c r="H93" s="5" t="inlineStr">
        <is>
          <t>Không có sự kiện mới từ camera offline. Sự kiện cũ vẫn hiển thị. Không lỗi hệ thống.</t>
        </is>
      </c>
      <c r="I93" s="5" t="n"/>
      <c r="J93" s="5" t="inlineStr">
        <is>
          <t>Negative</t>
        </is>
      </c>
    </row>
    <row r="94" ht="52.8" customHeight="1">
      <c r="A94" s="5" t="inlineStr">
        <is>
          <t>IAS-17</t>
        </is>
      </c>
      <c r="B94" s="5" t="inlineStr">
        <is>
          <t>Kiểm tra mất kết nối &amp; lỗi</t>
        </is>
      </c>
      <c r="C94" s="5" t="inlineStr">
        <is>
          <t>IAS-17-003</t>
        </is>
      </c>
      <c r="D94" s="5" t="inlineStr">
        <is>
          <t>Server AI nhận diện lỗi</t>
        </is>
      </c>
      <c r="E94" s="5" t="inlineStr">
        <is>
          <t>Server AI gặp sự cố</t>
        </is>
      </c>
      <c r="F94" s="5" t="inlineStr">
        <is>
          <t>1) Quan sát bảng.</t>
        </is>
      </c>
      <c r="G94" s="5" t="n"/>
      <c r="H94" s="5" t="inlineStr">
        <is>
          <t>Hiển thị thông báo lỗi phù hợp. Sự kiện cũ vẫn hiển thị. Khi server phục hồi, tự động tiếp tục nhận sự kiện.</t>
        </is>
      </c>
      <c r="I94" s="5" t="n"/>
      <c r="J94" s="5" t="inlineStr">
        <is>
          <t>Negative</t>
        </is>
      </c>
    </row>
    <row r="95" ht="52.8" customHeight="1">
      <c r="A95" s="5" t="inlineStr">
        <is>
          <t>IAS-17</t>
        </is>
      </c>
      <c r="B95" s="5" t="inlineStr">
        <is>
          <t>Kiểm tra mất kết nối &amp; lỗi</t>
        </is>
      </c>
      <c r="C95" s="5" t="inlineStr">
        <is>
          <t>IAS-17-004</t>
        </is>
      </c>
      <c r="D95" s="5" t="inlineStr">
        <is>
          <t>Refresh trang (F5)</t>
        </is>
      </c>
      <c r="E95" s="5" t="inlineStr">
        <is>
          <t>Đang ở tab Giám sát</t>
        </is>
      </c>
      <c r="F95" s="5" t="inlineStr">
        <is>
          <t>1) Nhấn F5.</t>
        </is>
      </c>
      <c r="G95" s="5" t="n"/>
      <c r="H95" s="5" t="inlineStr">
        <is>
          <t>Trang reload thành công. Dữ liệu mới nhất. Filter quay về mặc định (Tất cả, không chọn Camera). Không lỗi.</t>
        </is>
      </c>
      <c r="I95" s="5" t="n"/>
      <c r="J95" s="5" t="inlineStr">
        <is>
          <t>Feature</t>
        </is>
      </c>
    </row>
    <row r="96" ht="79.2" customHeight="1">
      <c r="A96" s="5" t="inlineStr">
        <is>
          <t>IAS-18</t>
        </is>
      </c>
      <c r="B96" s="5" t="inlineStr">
        <is>
          <t>Kiểm tra Realtime &amp; Cập nhật</t>
        </is>
      </c>
      <c r="C96" s="5" t="inlineStr">
        <is>
          <t>IAS-18-001</t>
        </is>
      </c>
      <c r="D96" s="5" t="inlineStr">
        <is>
          <t>Sự kiện mới xuất hiện realtime trong bảng</t>
        </is>
      </c>
      <c r="E96" s="5" t="inlineStr">
        <is>
          <t>Camera đang hoạt động, engine nhận diện chạy</t>
        </is>
      </c>
      <c r="F96" s="5" t="inlineStr">
        <is>
          <t>1) Mở tab Giám sát. 2) Đợi sự kiện mới trong 10 phút.</t>
        </is>
      </c>
      <c r="G96" s="5" t="n"/>
      <c r="H96" s="5" t="inlineStr">
        <is>
          <t>Sự kiện mới tự động xuất hiện ở đầu bảng mà không cần refresh. Badge "X Sự kiện" tự động tăng. Hình ảnh load đầy đủ. Thời gian hiển thị đúng.</t>
        </is>
      </c>
      <c r="I96" s="5" t="n"/>
      <c r="J96" s="5" t="inlineStr">
        <is>
          <t>Feature</t>
        </is>
      </c>
    </row>
    <row r="97" ht="52.8" customHeight="1">
      <c r="A97" s="5" t="inlineStr">
        <is>
          <t>IAS-18</t>
        </is>
      </c>
      <c r="B97" s="5" t="inlineStr">
        <is>
          <t>Kiểm tra Realtime &amp; Cập nhật</t>
        </is>
      </c>
      <c r="C97" s="5" t="inlineStr">
        <is>
          <t>IAS-18-002</t>
        </is>
      </c>
      <c r="D97" s="5" t="inlineStr">
        <is>
          <t>Sự kiện realtime khi đang filter</t>
        </is>
      </c>
      <c r="E97" s="5" t="inlineStr">
        <is>
          <t>Đang filter Camera ID cụ thể</t>
        </is>
      </c>
      <c r="F97" s="5" t="inlineStr">
        <is>
          <t>1) Chọn Camera LH-LTT-DK_CAM-04. 2) Đợi sự kiện mới.</t>
        </is>
      </c>
      <c r="G97" s="5" t="n"/>
      <c r="H97" s="5" t="inlineStr">
        <is>
          <t>Chỉ sự kiện mới từ camera LH-LTT-DK_CAM-04 tự động xuất hiện. Sự kiện từ camera khác không hiển thị.</t>
        </is>
      </c>
      <c r="I97" s="5" t="n"/>
      <c r="J97" s="5" t="inlineStr">
        <is>
          <t>Feature</t>
        </is>
      </c>
    </row>
    <row r="98" ht="66" customHeight="1">
      <c r="A98" s="5" t="inlineStr">
        <is>
          <t>IAS-18</t>
        </is>
      </c>
      <c r="B98" s="5" t="inlineStr">
        <is>
          <t>Kiểm tra Realtime &amp; Cập nhật</t>
        </is>
      </c>
      <c r="C98" s="5" t="inlineStr">
        <is>
          <t>IAS-18-003</t>
        </is>
      </c>
      <c r="D98" s="5" t="inlineStr">
        <is>
          <t>Chạy liên tục &gt; 24 giờ</t>
        </is>
      </c>
      <c r="E98" s="5" t="inlineStr">
        <is>
          <t>Mở trang liên tục</t>
        </is>
      </c>
      <c r="F98" s="5" t="inlineStr">
        <is>
          <t>1) Để trang chạy &gt; 24 giờ. 2) Kiểm tra.</t>
        </is>
      </c>
      <c r="G98" s="5" t="n"/>
      <c r="H98" s="5" t="inlineStr">
        <is>
          <t>Trang vẫn hoạt động bình thường. Sự kiện mới vẫn xuất hiện. Không bị memory leak, không đơ/lag. Badge cập nhật đúng.</t>
        </is>
      </c>
      <c r="I98" s="5" t="n"/>
      <c r="J98" s="5" t="inlineStr">
        <is>
          <t>Performance</t>
        </is>
      </c>
    </row>
  </sheetData>
  <mergeCells count="2">
    <mergeCell ref="B3:B8"/>
    <mergeCell ref="B9:B13"/>
  </mergeCells>
  <conditionalFormatting sqref="I2">
    <cfRule type="containsText" priority="1" operator="containsText" dxfId="5" text="OPEN/PENDING">
      <formula>NOT(ISERROR(SEARCH("OPEN/PENDING",I2)))</formula>
    </cfRule>
    <cfRule type="containsText" priority="2" operator="containsText" dxfId="4" text="FAIL">
      <formula>NOT(ISERROR(SEARCH("FAIL",I2)))</formula>
    </cfRule>
    <cfRule type="containsText" priority="3" operator="containsText" dxfId="3" text="PASS">
      <formula>NOT(ISERROR(SEARCH("PASS",I2)))</formula>
    </cfRule>
  </conditionalFormatting>
  <dataValidations count="1">
    <dataValidation sqref="I2" showDropDown="0" showInputMessage="1" showErrorMessage="1" allowBlank="1" type="list">
      <formula1>"PASS, FAIL, OPEN,PENDING"</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6"/>
  <sheetViews>
    <sheetView topLeftCell="A11" workbookViewId="0">
      <selection activeCell="K13" sqref="K13"/>
    </sheetView>
  </sheetViews>
  <sheetFormatPr baseColWidth="8" defaultColWidth="8.88671875" defaultRowHeight="13.2"/>
  <cols>
    <col width="15.109375" customWidth="1" min="1" max="1"/>
    <col width="24.33203125" customWidth="1" min="2" max="2"/>
    <col width="29.44140625" customWidth="1" min="3" max="3"/>
    <col width="30.6640625" customWidth="1" min="4" max="4"/>
    <col width="30.33203125" customWidth="1" min="5" max="5"/>
    <col width="26.44140625" customWidth="1" min="6" max="6"/>
    <col width="32" customWidth="1" min="7" max="7"/>
    <col width="39.88671875" customWidth="1" min="8" max="8"/>
    <col width="15.33203125" customWidth="1" min="9" max="9"/>
  </cols>
  <sheetData>
    <row r="1" ht="50.4" customHeight="1">
      <c r="A1" s="13" t="inlineStr">
        <is>
          <t>Tên dự án (Project's Name):</t>
        </is>
      </c>
      <c r="B1" s="100" t="inlineStr">
        <is>
          <t>Tối ưu stream</t>
        </is>
      </c>
      <c r="C1" s="101" t="n"/>
      <c r="D1" s="101" t="n"/>
      <c r="E1" s="101" t="n"/>
      <c r="F1" s="41" t="n"/>
    </row>
    <row r="2" ht="50.4" customHeight="1">
      <c r="A2" s="14" t="inlineStr">
        <is>
          <t>Tên module (Module's Name):</t>
        </is>
      </c>
      <c r="B2" s="100" t="inlineStr">
        <is>
          <t>Liveview</t>
        </is>
      </c>
      <c r="C2" s="101" t="n"/>
      <c r="D2" s="101" t="n"/>
      <c r="E2" s="101" t="n"/>
      <c r="F2" s="41" t="n"/>
    </row>
    <row r="3" ht="50.4" customHeight="1">
      <c r="A3" s="15" t="inlineStr">
        <is>
          <t>Tài liệu (Reference Document):</t>
        </is>
      </c>
      <c r="B3" s="102" t="inlineStr">
        <is>
          <t>Document</t>
        </is>
      </c>
      <c r="C3" s="101" t="n"/>
      <c r="D3" s="101" t="n"/>
      <c r="E3" s="101" t="n"/>
      <c r="F3" s="41" t="n"/>
    </row>
    <row r="4" ht="33.6" customHeight="1">
      <c r="A4" s="16" t="inlineStr">
        <is>
          <t>Người tạo (Author):</t>
        </is>
      </c>
      <c r="B4" s="21" t="inlineStr">
        <is>
          <t>Hoàng Hồng Vân, Nguyễn Thị Minh Tâm</t>
        </is>
      </c>
      <c r="C4" s="101" t="n"/>
      <c r="D4" s="101" t="n"/>
      <c r="E4" s="101" t="n"/>
      <c r="F4" s="41" t="n"/>
    </row>
    <row r="5" ht="50.4" customHeight="1">
      <c r="A5" s="15" t="inlineStr">
        <is>
          <t>Ngày tạo (Creation Date):</t>
        </is>
      </c>
      <c r="B5" s="103" t="inlineStr">
        <is>
          <t>16/6/2026</t>
        </is>
      </c>
      <c r="C5" s="101" t="n"/>
      <c r="D5" s="101" t="n"/>
      <c r="E5" s="101" t="n"/>
      <c r="F5" s="41" t="n"/>
    </row>
    <row r="6" ht="50.4" customHeight="1">
      <c r="A6" s="17" t="inlineStr">
        <is>
          <t>Người review (Reviewer):</t>
        </is>
      </c>
      <c r="B6" s="21" t="n"/>
      <c r="C6" s="101" t="n"/>
      <c r="D6" s="101" t="n"/>
      <c r="E6" s="101" t="n"/>
      <c r="F6" s="41" t="n"/>
    </row>
    <row r="7" ht="33.6" customHeight="1">
      <c r="A7" s="17" t="inlineStr">
        <is>
          <t>Phiên bản (Version):</t>
        </is>
      </c>
      <c r="B7" s="104" t="inlineStr">
        <is>
          <t>v2.2.0</t>
        </is>
      </c>
      <c r="C7" s="105" t="n"/>
      <c r="D7" s="105" t="n"/>
      <c r="E7" s="105" t="n"/>
      <c r="F7" s="106" t="n"/>
    </row>
    <row r="8" ht="33" customHeight="1">
      <c r="A8" s="95" t="inlineStr">
        <is>
          <t>Kết quả (Results):</t>
        </is>
      </c>
      <c r="B8" s="21" t="inlineStr">
        <is>
          <t>Tổng số case
 (Total)</t>
        </is>
      </c>
      <c r="C8" s="107" t="inlineStr">
        <is>
          <t>Pass</t>
        </is>
      </c>
      <c r="D8" s="41" t="n"/>
      <c r="E8" s="108" t="inlineStr">
        <is>
          <t>Fail</t>
        </is>
      </c>
      <c r="F8" s="41" t="n"/>
    </row>
    <row r="9" ht="16.8" customHeight="1">
      <c r="A9" s="109" t="n"/>
      <c r="B9" s="21">
        <f>COUNTIF(I:I,"Pass")+COUNTIF(I:I,"Test Fail") +COUNTIF(I:I,"Open") + COUNTIF(I:I,"Pending") + COUNTIF(J:J,"Fixed")</f>
        <v/>
      </c>
      <c r="C9" s="21">
        <f>COUNTIF(I:I,"Pass")</f>
        <v/>
      </c>
      <c r="D9" s="41" t="n"/>
      <c r="E9" s="21">
        <f>COUNTIF(I:I,"Fail")</f>
        <v/>
      </c>
      <c r="F9" s="41" t="n"/>
    </row>
    <row r="11" ht="34.5" customHeight="1">
      <c r="A11" s="18" t="inlineStr">
        <is>
          <t>Test Scenario ID</t>
        </is>
      </c>
      <c r="B11" s="18" t="inlineStr">
        <is>
          <t>Test Scenario Description</t>
        </is>
      </c>
      <c r="C11" s="18" t="inlineStr">
        <is>
          <t>Test Case ID</t>
        </is>
      </c>
      <c r="D11" s="18" t="inlineStr">
        <is>
          <t>Test Case Description</t>
        </is>
      </c>
      <c r="E11" s="18" t="inlineStr">
        <is>
          <t>Pre-Conditions</t>
        </is>
      </c>
      <c r="F11" s="18" t="inlineStr">
        <is>
          <t>Test Step</t>
        </is>
      </c>
      <c r="G11" s="18" t="inlineStr">
        <is>
          <t>Expected Response</t>
        </is>
      </c>
      <c r="H11" s="18" t="inlineStr">
        <is>
          <t>Actual Response</t>
        </is>
      </c>
      <c r="I11" s="19" t="inlineStr">
        <is>
          <t>Status
 (Trạng thái)</t>
        </is>
      </c>
      <c r="J11" s="22" t="n"/>
    </row>
    <row r="12" ht="76.5" customHeight="1">
      <c r="A12" s="9" t="inlineStr">
        <is>
          <t>TS-LIVE-001</t>
        </is>
      </c>
      <c r="B12" s="9" t="inlineStr">
        <is>
          <t>Kiểm tra tính ổn định của Live View</t>
        </is>
      </c>
      <c r="C12" s="9" t="inlineStr">
        <is>
          <t>TC-LIVE-001</t>
        </is>
      </c>
      <c r="D12" s="9" t="inlineStr">
        <is>
          <t>Kiểm tra Live View hoạt động ổn định trong thời gian dài</t>
        </is>
      </c>
      <c r="E12" s="9" t="inlineStr">
        <is>
          <t>Camera online, người dùng có quyền xem Live View</t>
        </is>
      </c>
      <c r="F12" s="9" t="inlineStr">
        <is>
          <t>1. Mở Live View.2. Chọn 1 camera.3. Để stream chạy liên tục 1–2 giờ.</t>
        </is>
      </c>
      <c r="G12" s="9" t="inlineStr">
        <is>
          <t>Stream hoạt động ổn định, không giật, lag hoặc mất kết nối.</t>
        </is>
      </c>
      <c r="H12" s="9" t="inlineStr">
        <is>
          <t>Theo dõi thêm: Camera giao thông vẫn xuất hiện hiện tượng đứng stream khoảng 3–4 giây, tuy nhiên đã cải thiện so với các phiên bản trước.</t>
        </is>
      </c>
      <c r="I12" s="4" t="inlineStr">
        <is>
          <t>PARTIAL PASS</t>
        </is>
      </c>
      <c r="J12" s="22" t="n"/>
      <c r="L12" s="25" t="n"/>
    </row>
    <row r="13" ht="41.4" customHeight="1">
      <c r="A13" s="9" t="inlineStr">
        <is>
          <t>TS-LIVE-001</t>
        </is>
      </c>
      <c r="B13" s="9" t="inlineStr">
        <is>
          <t>Kiểm tra tính ổn định của Live View</t>
        </is>
      </c>
      <c r="C13" s="9" t="inlineStr">
        <is>
          <t>TC-LIVE-002</t>
        </is>
      </c>
      <c r="D13" s="9" t="inlineStr">
        <is>
          <t>Kiểm tra nhiều camera trên Live View trong thời gian dài</t>
        </is>
      </c>
      <c r="E13" s="9" t="inlineStr">
        <is>
          <t>Có nhiều camera online</t>
        </is>
      </c>
      <c r="F13" s="9" t="inlineStr">
        <is>
          <t>1. Mở layout 4/9/16 camera.2. Để chạy liên tục 1–2 giờ.</t>
        </is>
      </c>
      <c r="G13" s="9" t="inlineStr">
        <is>
          <t>Tất cả camera hiển thị bình thường, không bị đen màn hình hoặc mất stream.</t>
        </is>
      </c>
      <c r="H13" s="9" t="inlineStr">
        <is>
          <t>Theo dõi thêm: Camera giao thông vẫn ghi nhận hiện tượng gián đoạn hiển thị nhưng đã ổn định hơn so với trước.</t>
        </is>
      </c>
      <c r="I13" s="4" t="inlineStr">
        <is>
          <t>PARTIAL PASS</t>
        </is>
      </c>
      <c r="J13" s="22" t="n"/>
    </row>
    <row r="14" ht="41.4" customHeight="1">
      <c r="A14" s="9" t="inlineStr">
        <is>
          <t>TS-LIVE-001</t>
        </is>
      </c>
      <c r="B14" s="9" t="inlineStr">
        <is>
          <t>Kiểm tra tính ổn định của Live View</t>
        </is>
      </c>
      <c r="C14" s="9" t="inlineStr">
        <is>
          <t>TC-LIVE-003</t>
        </is>
      </c>
      <c r="D14" s="9" t="inlineStr">
        <is>
          <t>Kiểm tra Live View sau khi chuyển tab trình duyệt</t>
        </is>
      </c>
      <c r="E14" s="9" t="inlineStr">
        <is>
          <t>Live View đang hoạt động</t>
        </is>
      </c>
      <c r="F14" s="9" t="inlineStr">
        <is>
          <t>1. Mở Live View.2. Chuyển sang tab khác 5–10 phút.3. Quay lại Live View.</t>
        </is>
      </c>
      <c r="G14" s="9" t="inlineStr">
        <is>
          <t>Stream tiếp tục phát, không cần reload trang.</t>
        </is>
      </c>
      <c r="H14" s="9" t="inlineStr">
        <is>
          <t>Stream tiếp tục phát bình thường sau khi quay lại tab.</t>
        </is>
      </c>
      <c r="I14" s="4" t="inlineStr">
        <is>
          <t>PASS</t>
        </is>
      </c>
      <c r="J14" s="22" t="n"/>
    </row>
    <row r="15" ht="41.4" customHeight="1">
      <c r="A15" s="9" t="inlineStr">
        <is>
          <t>TS-PLAYBACK-001</t>
        </is>
      </c>
      <c r="B15" s="9" t="inlineStr">
        <is>
          <t>Kiểm tra hiệu năng Playback</t>
        </is>
      </c>
      <c r="C15" s="9" t="inlineStr">
        <is>
          <t>TC-PB-001</t>
        </is>
      </c>
      <c r="D15" s="9" t="inlineStr">
        <is>
          <t>Kiểm tra thời gian mở Playback lần đầu</t>
        </is>
      </c>
      <c r="E15" s="9" t="inlineStr">
        <is>
          <t>Camera có dữ liệu ghi hình</t>
        </is>
      </c>
      <c r="F15" s="9" t="inlineStr">
        <is>
          <t>1. Mở Playback.2. Chọn camera.3. Chọn thời gian có dữ liệu.</t>
        </is>
      </c>
      <c r="G15" s="9" t="inlineStr">
        <is>
          <t>Video hiển thị trong ≤1.5 giây.</t>
        </is>
      </c>
      <c r="H15" s="9" t="inlineStr">
        <is>
          <t>Playback mở trong thời gian mong đợi.</t>
        </is>
      </c>
      <c r="I15" s="4" t="inlineStr">
        <is>
          <t>PASS</t>
        </is>
      </c>
      <c r="J15" s="22" t="n"/>
    </row>
    <row r="16" ht="41.4" customHeight="1">
      <c r="A16" s="9" t="inlineStr">
        <is>
          <t>TS-PLAYBACK-001</t>
        </is>
      </c>
      <c r="B16" s="9" t="inlineStr">
        <is>
          <t>Kiểm tra hiệu năng Playback</t>
        </is>
      </c>
      <c r="C16" s="9" t="inlineStr">
        <is>
          <t>TC-PB-002</t>
        </is>
      </c>
      <c r="D16" s="9" t="inlineStr">
        <is>
          <t>Kiểm tra thời gian load khi tua Playback</t>
        </is>
      </c>
      <c r="E16" s="9" t="inlineStr">
        <is>
          <t>Playback đang hoạt động</t>
        </is>
      </c>
      <c r="F16" s="9" t="inlineStr">
        <is>
          <t>1. Mở Playback.2. Tua tới thời điểm khác.</t>
        </is>
      </c>
      <c r="G16" s="9" t="inlineStr">
        <is>
          <t>Video load lại trong ≤1.5 giây.</t>
        </is>
      </c>
      <c r="H16" s="9" t="inlineStr">
        <is>
          <t>Video tải lại đúng thời gian mong đợi.</t>
        </is>
      </c>
      <c r="I16" s="4" t="inlineStr">
        <is>
          <t>PASS</t>
        </is>
      </c>
      <c r="J16" s="22" t="n"/>
    </row>
    <row r="17" ht="41.4" customHeight="1">
      <c r="A17" s="9" t="inlineStr">
        <is>
          <t>TS-PLAYBACK-001</t>
        </is>
      </c>
      <c r="B17" s="9" t="inlineStr">
        <is>
          <t>Kiểm tra hiệu năng Playback</t>
        </is>
      </c>
      <c r="C17" s="9" t="inlineStr">
        <is>
          <t>TC-PB-003</t>
        </is>
      </c>
      <c r="D17" s="9" t="inlineStr">
        <is>
          <t>Kiểm tra tua nhiều lần liên tiếp</t>
        </is>
      </c>
      <c r="E17" s="9" t="inlineStr">
        <is>
          <t>Playback đang hoạt động</t>
        </is>
      </c>
      <c r="F17" s="9" t="inlineStr">
        <is>
          <t>1. Mở Playback.2. Tua liên tục 5–10 vị trí khác nhau.</t>
        </is>
      </c>
      <c r="G17" s="9" t="inlineStr">
        <is>
          <t>Mỗi lần tua đều load nhanh, không treo player.</t>
        </is>
      </c>
      <c r="H17" s="9" t="inlineStr">
        <is>
          <t>Theo dõi thêm: Thời gian tải mỗi lần tua khoảng dưới 3 giây, không xảy ra treo player, cần tiếp tục theo dõi hiệu năng.</t>
        </is>
      </c>
      <c r="I17" s="4" t="inlineStr">
        <is>
          <t>PARTIAL PASS</t>
        </is>
      </c>
      <c r="J17" s="22" t="n"/>
    </row>
    <row r="18" ht="41.4" customHeight="1">
      <c r="A18" s="9" t="inlineStr">
        <is>
          <t>TS-PLAYBACK-001</t>
        </is>
      </c>
      <c r="B18" s="9" t="inlineStr">
        <is>
          <t>Kiểm tra hiệu năng Playback</t>
        </is>
      </c>
      <c r="C18" s="9" t="inlineStr">
        <is>
          <t>TC-PB-004</t>
        </is>
      </c>
      <c r="D18" s="9" t="inlineStr">
        <is>
          <t>Kiểm tra chuyển đổi nhiều camera trên Playback</t>
        </is>
      </c>
      <c r="E18" s="9" t="inlineStr">
        <is>
          <t>Có nhiều camera có recording</t>
        </is>
      </c>
      <c r="F18" s="9" t="inlineStr">
        <is>
          <t>1. Mở Playback.2. Chuyển đổi nhiều camera liên tục.</t>
        </is>
      </c>
      <c r="G18" s="9" t="inlineStr">
        <is>
          <t>Thời gian tải mỗi camera ≤1.5 giây.</t>
        </is>
      </c>
      <c r="H18" s="9" t="inlineStr">
        <is>
          <t>Chuyển đổi camera ổn định.</t>
        </is>
      </c>
      <c r="I18" s="4" t="inlineStr">
        <is>
          <t>PASS</t>
        </is>
      </c>
      <c r="J18" s="22" t="n"/>
    </row>
    <row r="19" ht="41.4" customHeight="1">
      <c r="A19" s="9" t="inlineStr">
        <is>
          <t>TS-PLAYBACK-001</t>
        </is>
      </c>
      <c r="B19" s="9" t="inlineStr">
        <is>
          <t>Kiểm tra hiệu năng Playback</t>
        </is>
      </c>
      <c r="C19" s="9" t="inlineStr">
        <is>
          <t>TC-PB-005</t>
        </is>
      </c>
      <c r="D19" s="9" t="inlineStr">
        <is>
          <t>Kiểm tra tua tới thời gian không có dữ liệu</t>
        </is>
      </c>
      <c r="E19" s="9" t="inlineStr">
        <is>
          <t>Playback đang hoạt động</t>
        </is>
      </c>
      <c r="F19" s="9" t="inlineStr">
        <is>
          <t>1. Tua tới khoảng thời gian không có recording.</t>
        </is>
      </c>
      <c r="G19" s="9" t="inlineStr">
        <is>
          <t>Hiển thị thông báo phù hợp, không loading vô hạn.</t>
        </is>
      </c>
      <c r="H19" s="9" t="inlineStr">
        <is>
          <t>Hệ thống hiển thị thông báo đúng, không xảy ra loading vô hạn.</t>
        </is>
      </c>
      <c r="I19" s="4" t="inlineStr">
        <is>
          <t>PASS</t>
        </is>
      </c>
      <c r="J19" s="22" t="n"/>
    </row>
    <row r="20" ht="55.2" customHeight="1">
      <c r="A20" s="9" t="inlineStr">
        <is>
          <t>TS-LIVE-002</t>
        </is>
      </c>
      <c r="B20" s="9" t="inlineStr">
        <is>
          <t>Kiểm tra cập nhật dữ liệu Live View</t>
        </is>
      </c>
      <c r="C20" s="9" t="inlineStr">
        <is>
          <t>TC-LIVE-004</t>
        </is>
      </c>
      <c r="D20" s="9" t="inlineStr">
        <is>
          <t>Kiểm tra quay lại Live View khi không chỉnh sửa camera</t>
        </is>
      </c>
      <c r="E20" s="9" t="inlineStr">
        <is>
          <t>Camera đã tồn tại</t>
        </is>
      </c>
      <c r="F20" s="9" t="inlineStr">
        <is>
          <t>1. Mở Live View.2. Mở Edit Camera.3. Không chỉnh sửa.4. Quay lại Live View.</t>
        </is>
      </c>
      <c r="G20" s="9" t="inlineStr">
        <is>
          <t>Không gọi API</t>
        </is>
      </c>
      <c r="H20" s="9" t="inlineStr">
        <is>
          <t>Theo dõi thêm: Không ghi nhận bất thường về API, tuy nhiên mất khoảng 20–30 giây để hiển thị đầy đủ camera. Đã cải thiện so với trước nhưng cần tiếp tục theo dõi.</t>
        </is>
      </c>
      <c r="I20" s="4" t="inlineStr">
        <is>
          <t>PARTIAL PASS</t>
        </is>
      </c>
      <c r="J20" s="22" t="n"/>
    </row>
    <row r="21" ht="55.2" customHeight="1">
      <c r="A21" s="9" t="inlineStr">
        <is>
          <t>TS-LIVE-002</t>
        </is>
      </c>
      <c r="B21" s="9" t="inlineStr">
        <is>
          <t>Kiểm tra cập nhật dữ liệu Live View</t>
        </is>
      </c>
      <c r="C21" s="9" t="inlineStr">
        <is>
          <t>TC-LIVE-005</t>
        </is>
      </c>
      <c r="D21" s="9" t="inlineStr">
        <is>
          <t>Kiểm tra quay lại Live View sau khi chỉnh sửa camera</t>
        </is>
      </c>
      <c r="E21" s="9" t="inlineStr">
        <is>
          <t>Camera đã tồn tại</t>
        </is>
      </c>
      <c r="F21" s="9" t="inlineStr">
        <is>
          <t>1. Mở Edit Camera.2. Chỉnh sửa thông tin.3. Lưu.4. Quay lại Live View.</t>
        </is>
      </c>
      <c r="G21" s="9" t="inlineStr">
        <is>
          <t>Gọi API</t>
        </is>
      </c>
      <c r="H21" s="9" t="inlineStr">
        <is>
          <t>Theo dõi thêm: Sau khi cập nhật camera, hệ thống hiển thị đầy đủ camera sau khoảng 5–10 giây. Đã cải thiện nhưng vẫn cần theo dõi thêm.</t>
        </is>
      </c>
      <c r="I21" s="4" t="inlineStr">
        <is>
          <t>PARTIAL PASS</t>
        </is>
      </c>
      <c r="J21" s="22" t="n"/>
    </row>
    <row r="22" ht="27.6" customHeight="1">
      <c r="A22" s="9" t="inlineStr">
        <is>
          <t>TS-LIVE-003</t>
        </is>
      </c>
      <c r="B22" s="9" t="inlineStr">
        <is>
          <t>Kiểm tra Fullscreen Live View</t>
        </is>
      </c>
      <c r="C22" s="9" t="inlineStr">
        <is>
          <t>TC-LIVE-006</t>
        </is>
      </c>
      <c r="D22" s="9" t="inlineStr">
        <is>
          <t>Kiểm tra bật Fullscreen trên Live View</t>
        </is>
      </c>
      <c r="E22" s="9" t="inlineStr">
        <is>
          <t>Live View đang phát</t>
        </is>
      </c>
      <c r="F22" s="9" t="inlineStr">
        <is>
          <t>1. Nhấn Fullscreen.</t>
        </is>
      </c>
      <c r="G22" s="9" t="inlineStr">
        <is>
          <t>Video hiển thị ngay, không reload player.</t>
        </is>
      </c>
      <c r="H22" s="9" t="inlineStr">
        <is>
          <t>Hoạt động đúng theo mong đợi.</t>
        </is>
      </c>
      <c r="I22" s="4" t="inlineStr">
        <is>
          <t>PASS</t>
        </is>
      </c>
      <c r="J22" s="22" t="n"/>
    </row>
    <row r="23" ht="27.6" customHeight="1">
      <c r="A23" s="9" t="inlineStr">
        <is>
          <t>TS-LIVE-003</t>
        </is>
      </c>
      <c r="B23" s="9" t="inlineStr">
        <is>
          <t>Kiểm tra Fullscreen Live View</t>
        </is>
      </c>
      <c r="C23" s="9" t="inlineStr">
        <is>
          <t>TC-LIVE-007</t>
        </is>
      </c>
      <c r="D23" s="9" t="inlineStr">
        <is>
          <t>Kiểm tra thoát Fullscreen trên Live View</t>
        </is>
      </c>
      <c r="E23" s="9" t="inlineStr">
        <is>
          <t>Đang ở Fullscreen</t>
        </is>
      </c>
      <c r="F23" s="9" t="inlineStr">
        <is>
          <t>1. Thoát Fullscreen.</t>
        </is>
      </c>
      <c r="G23" s="9" t="inlineStr">
        <is>
          <t>Video tiếp tục phát, không reconnect.</t>
        </is>
      </c>
      <c r="H23" s="9" t="inlineStr">
        <is>
          <t>Hoạt động đúng theo mong đợi.</t>
        </is>
      </c>
      <c r="I23" s="4" t="inlineStr">
        <is>
          <t>PASS</t>
        </is>
      </c>
    </row>
    <row r="24" ht="41.4" customHeight="1">
      <c r="A24" s="9" t="inlineStr">
        <is>
          <t>TS-PLAYBACK-002</t>
        </is>
      </c>
      <c r="B24" s="9" t="inlineStr">
        <is>
          <t>Kiểm tra Fullscreen Playback</t>
        </is>
      </c>
      <c r="C24" s="9" t="inlineStr">
        <is>
          <t>TC-PB-006</t>
        </is>
      </c>
      <c r="D24" s="9" t="inlineStr">
        <is>
          <t>Kiểm tra Fullscreen trên Playback</t>
        </is>
      </c>
      <c r="E24" s="9" t="inlineStr">
        <is>
          <t>Playback đang phát</t>
        </is>
      </c>
      <c r="F24" s="9" t="inlineStr">
        <is>
          <t>1. Nhấn Fullscreen.</t>
        </is>
      </c>
      <c r="G24" s="9" t="inlineStr">
        <is>
          <t>Không reload player, giữ nguyên video đang phát.</t>
        </is>
      </c>
      <c r="H24" s="9" t="inlineStr">
        <is>
          <t>Hoạt động đúng theo mong đợi.</t>
        </is>
      </c>
      <c r="I24" s="4" t="inlineStr">
        <is>
          <t>PASS</t>
        </is>
      </c>
    </row>
    <row r="25" ht="32.25" customFormat="1" customHeight="1" s="5">
      <c r="A25" s="9" t="inlineStr">
        <is>
          <t>TS-PLAYBACK-002</t>
        </is>
      </c>
      <c r="B25" s="9" t="inlineStr">
        <is>
          <t>Kiểm tra Fullscreen Playback</t>
        </is>
      </c>
      <c r="C25" s="9" t="inlineStr">
        <is>
          <t>TC-PB-007</t>
        </is>
      </c>
      <c r="D25" s="9" t="inlineStr">
        <is>
          <t>Kiểm tra Fullscreen khi đang tua Playback</t>
        </is>
      </c>
      <c r="E25" s="9" t="inlineStr">
        <is>
          <t>Playback đang phát</t>
        </is>
      </c>
      <c r="F25" s="9" t="inlineStr">
        <is>
          <t>1. Tua tới thời điểm bất kỳ.2. Nhấn Fullscreen.</t>
        </is>
      </c>
      <c r="G25" s="9" t="inlineStr">
        <is>
          <t>Giữ nguyên timestamp hiện tại, không load lại từ đầu.</t>
        </is>
      </c>
      <c r="H25" s="7" t="inlineStr">
        <is>
          <t>Hoạt động đúng theo mong đợi.</t>
        </is>
      </c>
      <c r="I25" s="4" t="inlineStr">
        <is>
          <t>PASS</t>
        </is>
      </c>
    </row>
    <row r="26" ht="48" customFormat="1" customHeight="1" s="5">
      <c r="A26" s="9" t="inlineStr">
        <is>
          <t>TS-LIVE-004</t>
        </is>
      </c>
      <c r="B26" s="9" t="inlineStr">
        <is>
          <t>Kiểm tra Network khi bật/tắt Fullscreen</t>
        </is>
      </c>
      <c r="C26" s="9" t="inlineStr">
        <is>
          <t>TC-LIVE-008</t>
        </is>
      </c>
      <c r="D26" s="9" t="inlineStr">
        <is>
          <t>Kiểm tra Network khi bật/tắt Fullscreen</t>
        </is>
      </c>
      <c r="E26" s="9" t="inlineStr">
        <is>
          <t>Mở DevTools &gt; Network</t>
        </is>
      </c>
      <c r="F26" s="9" t="inlineStr">
        <is>
          <t>1. Bật/Tắt Fullscreen nhiều lần.</t>
        </is>
      </c>
      <c r="G26" s="9" t="inlineStr">
        <is>
          <t>Không tạo thêm stream connection hoặc request khởi tạo player mới.</t>
        </is>
      </c>
      <c r="H26" s="7" t="inlineStr">
        <is>
          <t>Không phát sinh thêm stream connection hoặc request khởi tạo player mới.</t>
        </is>
      </c>
      <c r="I26" s="4" t="inlineStr">
        <is>
          <t>PASS</t>
        </is>
      </c>
    </row>
  </sheetData>
  <mergeCells count="12">
    <mergeCell ref="B4:F4"/>
    <mergeCell ref="A8:A9"/>
    <mergeCell ref="B7:F7"/>
    <mergeCell ref="B6:F6"/>
    <mergeCell ref="B2:F2"/>
    <mergeCell ref="B3:F3"/>
    <mergeCell ref="B5:F5"/>
    <mergeCell ref="B1:F1"/>
    <mergeCell ref="C9:D9"/>
    <mergeCell ref="E9:F9"/>
    <mergeCell ref="E8:F8"/>
    <mergeCell ref="C8:D8"/>
  </mergeCells>
  <conditionalFormatting sqref="I12:I26">
    <cfRule type="containsText" priority="1" operator="containsText" dxfId="45" text="PARTIAL PASS">
      <formula>NOT(ISERROR(SEARCH("PARTIAL PASS",I12)))</formula>
    </cfRule>
    <cfRule type="containsText" priority="2" operator="containsText" dxfId="5" text="OPEN/PENDING">
      <formula>NOT(ISERROR(SEARCH("OPEN/PENDING",I12)))</formula>
    </cfRule>
    <cfRule type="containsText" priority="3" operator="containsText" dxfId="4" text="FAIL">
      <formula>NOT(ISERROR(SEARCH("FAIL",I12)))</formula>
    </cfRule>
    <cfRule type="containsText" priority="4" operator="containsText" dxfId="3" text="PASS">
      <formula>NOT(ISERROR(SEARCH("PASS",I12)))</formula>
    </cfRule>
  </conditionalFormatting>
  <dataValidations count="2">
    <dataValidation sqref="I14:I16 I18:I19 I22:I26" showDropDown="0" showInputMessage="1" showErrorMessage="1" allowBlank="1" type="list">
      <formula1>"PASS, FAIL, OPEN,PENDING"</formula1>
    </dataValidation>
    <dataValidation sqref="I12:I13 I17 I20:I21" showDropDown="0" showInputMessage="1" showErrorMessage="1" allowBlank="1" type="list">
      <formula1>"PASS, FAIL, OPEN,PENDING, PARTIAL PASS"</formula1>
    </dataValidation>
  </dataValidations>
  <hyperlinks>
    <hyperlink xmlns:r="http://schemas.openxmlformats.org/officeDocument/2006/relationships" ref="B3" r:id="rId1"/>
  </hyperlinks>
  <pageMargins left="0.7" right="0.7" top="0.75" bottom="0.75" header="0.3" footer="0.3"/>
</worksheet>
</file>

<file path=xl/worksheets/sheet3.xml><?xml version="1.0" encoding="utf-8"?>
<worksheet xmlns="http://schemas.openxmlformats.org/spreadsheetml/2006/main">
  <sheetPr>
    <tabColor rgb="FFFFFF00"/>
    <outlinePr summaryBelow="1" summaryRight="1"/>
    <pageSetUpPr/>
  </sheetPr>
  <dimension ref="A1:L27"/>
  <sheetViews>
    <sheetView topLeftCell="B18" workbookViewId="0">
      <selection activeCell="J7" sqref="J7"/>
    </sheetView>
  </sheetViews>
  <sheetFormatPr baseColWidth="8" defaultColWidth="8.88671875" defaultRowHeight="13.2"/>
  <cols>
    <col width="14.88671875" customWidth="1" min="1" max="4"/>
    <col width="27.109375" customWidth="1" min="5" max="6"/>
    <col width="32.44140625" customWidth="1" min="7" max="9"/>
    <col width="16.33203125" customWidth="1" min="10" max="10"/>
    <col width="23.44140625" customWidth="1" min="11" max="11"/>
    <col width="22.44140625" customWidth="1" min="12" max="12"/>
  </cols>
  <sheetData>
    <row r="1" ht="50.4" customHeight="1">
      <c r="A1" s="26" t="inlineStr">
        <is>
          <t>Tên dự án (Project's Name):</t>
        </is>
      </c>
      <c r="B1" s="21" t="inlineStr">
        <is>
          <t>Tối ưu stream</t>
        </is>
      </c>
      <c r="C1" s="101" t="n"/>
      <c r="D1" s="101" t="n"/>
      <c r="E1" s="101" t="n"/>
      <c r="F1" s="41" t="n"/>
      <c r="G1" s="27" t="n"/>
      <c r="H1" s="23" t="inlineStr">
        <is>
          <t>Version</t>
        </is>
      </c>
      <c r="I1" s="23" t="inlineStr">
        <is>
          <t>Ngày</t>
        </is>
      </c>
      <c r="J1" s="23" t="inlineStr">
        <is>
          <t>Tên người chỉnh sửa</t>
        </is>
      </c>
      <c r="K1" s="23" t="inlineStr">
        <is>
          <t>Nội dung chỉnh sửa</t>
        </is>
      </c>
      <c r="L1" s="28" t="inlineStr">
        <is>
          <t xml:space="preserve"> </t>
        </is>
      </c>
    </row>
    <row r="2" ht="50.4" customHeight="1">
      <c r="A2" s="15" t="inlineStr">
        <is>
          <t>Tên module (Module's Name):</t>
        </is>
      </c>
      <c r="B2" s="21" t="inlineStr">
        <is>
          <t>Liveview</t>
        </is>
      </c>
      <c r="C2" s="101" t="n"/>
      <c r="D2" s="101" t="n"/>
      <c r="E2" s="101" t="n"/>
      <c r="F2" s="41" t="n"/>
      <c r="G2" s="27" t="n"/>
      <c r="H2" s="36" t="inlineStr">
        <is>
          <t>v2.1.0</t>
        </is>
      </c>
      <c r="I2" s="24" t="inlineStr">
        <is>
          <t>20/07/2026</t>
        </is>
      </c>
      <c r="J2" s="11" t="inlineStr">
        <is>
          <t>Hoàng Hồng Vân</t>
        </is>
      </c>
      <c r="K2" s="10" t="inlineStr">
        <is>
          <t>Cập nhật testcase cho perfomance Liveview</t>
        </is>
      </c>
      <c r="L2" s="29" t="inlineStr">
        <is>
          <t xml:space="preserve"> </t>
        </is>
      </c>
    </row>
    <row r="3" ht="50.4" customHeight="1">
      <c r="A3" s="15" t="inlineStr">
        <is>
          <t>Tài liệu (Reference Document):</t>
        </is>
      </c>
      <c r="B3" s="102" t="inlineStr">
        <is>
          <t>Document</t>
        </is>
      </c>
      <c r="C3" s="101" t="n"/>
      <c r="D3" s="101" t="n"/>
      <c r="E3" s="101" t="n"/>
      <c r="F3" s="41" t="n"/>
      <c r="G3" s="27" t="n"/>
      <c r="H3" s="36" t="n"/>
      <c r="I3" s="30" t="n"/>
      <c r="J3" s="11" t="n"/>
      <c r="K3" s="10" t="n"/>
      <c r="L3" s="29" t="inlineStr">
        <is>
          <t xml:space="preserve"> </t>
        </is>
      </c>
    </row>
    <row r="4" ht="33.6" customHeight="1">
      <c r="A4" s="16" t="inlineStr">
        <is>
          <t>Người tạo (Author):</t>
        </is>
      </c>
      <c r="B4" s="21" t="inlineStr">
        <is>
          <t>Hoàng Hồng Vân, Nguyễn Thị Minh Tâm</t>
        </is>
      </c>
      <c r="C4" s="101" t="n"/>
      <c r="D4" s="101" t="n"/>
      <c r="E4" s="101" t="n"/>
      <c r="F4" s="41" t="n"/>
      <c r="G4" s="27" t="n"/>
      <c r="H4" s="29" t="inlineStr">
        <is>
          <t>Camera: độ phân giải, fps, bitate</t>
        </is>
      </c>
      <c r="I4" s="29" t="inlineStr">
        <is>
          <t xml:space="preserve"> </t>
        </is>
      </c>
      <c r="J4" s="29" t="inlineStr">
        <is>
          <t xml:space="preserve"> </t>
        </is>
      </c>
      <c r="K4" s="29" t="inlineStr">
        <is>
          <t xml:space="preserve"> </t>
        </is>
      </c>
      <c r="L4" s="29" t="inlineStr">
        <is>
          <t xml:space="preserve"> </t>
        </is>
      </c>
    </row>
    <row r="5" ht="50.4" customHeight="1">
      <c r="A5" s="15" t="inlineStr">
        <is>
          <t>Ngày tạo (Creation Date):</t>
        </is>
      </c>
      <c r="B5" s="103" t="inlineStr">
        <is>
          <t>20/7/2026</t>
        </is>
      </c>
      <c r="C5" s="101" t="n"/>
      <c r="D5" s="101" t="n"/>
      <c r="E5" s="101" t="n"/>
      <c r="F5" s="41" t="n"/>
      <c r="G5" s="27" t="n"/>
      <c r="H5" s="29" t="inlineStr">
        <is>
          <t>Server</t>
        </is>
      </c>
      <c r="I5" s="29" t="inlineStr">
        <is>
          <t xml:space="preserve"> </t>
        </is>
      </c>
      <c r="J5" s="29" t="inlineStr">
        <is>
          <t xml:space="preserve"> </t>
        </is>
      </c>
      <c r="K5" s="29" t="inlineStr">
        <is>
          <t xml:space="preserve"> </t>
        </is>
      </c>
      <c r="L5" s="29" t="inlineStr">
        <is>
          <t xml:space="preserve"> </t>
        </is>
      </c>
    </row>
    <row r="6" ht="50.4" customHeight="1">
      <c r="A6" s="17" t="inlineStr">
        <is>
          <t>Người review (Reviewer):</t>
        </is>
      </c>
      <c r="B6" s="21" t="n"/>
      <c r="C6" s="101" t="n"/>
      <c r="D6" s="101" t="n"/>
      <c r="E6" s="101" t="n"/>
      <c r="F6" s="41" t="n"/>
      <c r="G6" s="27" t="n"/>
      <c r="H6" s="29" t="inlineStr">
        <is>
          <t xml:space="preserve"> </t>
        </is>
      </c>
      <c r="I6" s="29" t="inlineStr">
        <is>
          <t xml:space="preserve"> </t>
        </is>
      </c>
      <c r="J6" s="29" t="inlineStr">
        <is>
          <t xml:space="preserve"> </t>
        </is>
      </c>
      <c r="K6" s="29" t="inlineStr">
        <is>
          <t xml:space="preserve"> </t>
        </is>
      </c>
      <c r="L6" s="29" t="inlineStr">
        <is>
          <t xml:space="preserve"> </t>
        </is>
      </c>
    </row>
    <row r="7" ht="33.6" customHeight="1">
      <c r="A7" s="17" t="inlineStr">
        <is>
          <t>Phiên bản (Version):</t>
        </is>
      </c>
      <c r="B7" s="104" t="inlineStr">
        <is>
          <t>v2.2.0</t>
        </is>
      </c>
      <c r="C7" s="105" t="n"/>
      <c r="D7" s="105" t="n"/>
      <c r="E7" s="105" t="n"/>
      <c r="F7" s="106" t="n"/>
      <c r="G7" s="27" t="n"/>
      <c r="H7" s="29" t="inlineStr">
        <is>
          <t xml:space="preserve"> </t>
        </is>
      </c>
      <c r="I7" s="29" t="inlineStr">
        <is>
          <t xml:space="preserve"> </t>
        </is>
      </c>
      <c r="J7" s="29" t="inlineStr">
        <is>
          <t xml:space="preserve"> </t>
        </is>
      </c>
      <c r="K7" s="29" t="inlineStr">
        <is>
          <t xml:space="preserve"> </t>
        </is>
      </c>
      <c r="L7" s="29" t="inlineStr">
        <is>
          <t xml:space="preserve"> </t>
        </is>
      </c>
    </row>
    <row r="8" ht="33.6" customHeight="1">
      <c r="A8" s="95" t="inlineStr">
        <is>
          <t>Kết quả (Results):</t>
        </is>
      </c>
      <c r="B8" s="21" t="inlineStr">
        <is>
          <t>Tổng số case
 (Total)</t>
        </is>
      </c>
      <c r="C8" s="107" t="inlineStr">
        <is>
          <t>Pass</t>
        </is>
      </c>
      <c r="D8" s="41" t="n"/>
      <c r="E8" s="108" t="inlineStr">
        <is>
          <t>Fail</t>
        </is>
      </c>
      <c r="F8" s="41" t="n"/>
      <c r="G8" s="27" t="n"/>
      <c r="H8" s="29" t="inlineStr">
        <is>
          <t xml:space="preserve"> </t>
        </is>
      </c>
      <c r="I8" s="29" t="inlineStr">
        <is>
          <t xml:space="preserve"> </t>
        </is>
      </c>
      <c r="J8" s="29" t="inlineStr">
        <is>
          <t xml:space="preserve"> </t>
        </is>
      </c>
      <c r="K8" s="29" t="inlineStr">
        <is>
          <t xml:space="preserve"> </t>
        </is>
      </c>
      <c r="L8" s="29" t="inlineStr">
        <is>
          <t xml:space="preserve"> </t>
        </is>
      </c>
    </row>
    <row r="9" ht="16.8" customHeight="1">
      <c r="A9" s="109" t="n"/>
      <c r="B9" s="21">
        <f>COUNTIF(K:K,"Pass")+COUNTIF(K:K,"Fail") +COUNTIF(K:K,"Open") + COUNTIF(K:K,"Pending") + COUNTIF(K:K,"Fixed")</f>
        <v/>
      </c>
      <c r="C9" s="21">
        <f>COUNTIF(I:I,"Pass")</f>
        <v/>
      </c>
      <c r="D9" s="41" t="n"/>
      <c r="E9" s="21">
        <f>COUNTIF(I:I,"Fail")</f>
        <v/>
      </c>
      <c r="F9" s="41" t="n"/>
      <c r="G9" s="27" t="n"/>
      <c r="H9" s="29" t="inlineStr">
        <is>
          <t xml:space="preserve"> </t>
        </is>
      </c>
      <c r="I9" s="29" t="inlineStr">
        <is>
          <t xml:space="preserve"> </t>
        </is>
      </c>
      <c r="J9" s="29" t="inlineStr">
        <is>
          <t xml:space="preserve"> </t>
        </is>
      </c>
      <c r="K9" s="29" t="inlineStr">
        <is>
          <t xml:space="preserve"> </t>
        </is>
      </c>
      <c r="L9" s="29" t="inlineStr">
        <is>
          <t xml:space="preserve"> </t>
        </is>
      </c>
    </row>
    <row r="10" ht="57.6" customHeight="1">
      <c r="A10" s="31" t="inlineStr">
        <is>
          <t>Test Scenario ID
(ID Kịch bản kiểm thử)</t>
        </is>
      </c>
      <c r="B10" s="32" t="inlineStr">
        <is>
          <t>Test Scenario Description
(Mô tả kịch bản kiểm thử)</t>
        </is>
      </c>
      <c r="C10" s="32" t="inlineStr">
        <is>
          <t>Test Case ID
(ID trường hợp kiểm thử)</t>
        </is>
      </c>
      <c r="D10" s="32" t="inlineStr">
        <is>
          <t>Test Case Description
(Mô tả trường hợp kiểm thử)</t>
        </is>
      </c>
      <c r="E10" s="32" t="inlineStr">
        <is>
          <t>Pre-Conditions
(Điều kiện tiên quyết)</t>
        </is>
      </c>
      <c r="F10" s="32" t="inlineStr">
        <is>
          <t>Test Step
(Các bước thực hiện)</t>
        </is>
      </c>
      <c r="G10" s="32" t="inlineStr">
        <is>
          <t>Test Data
(Dữ liệu kiểm thử)</t>
        </is>
      </c>
      <c r="H10" s="32" t="inlineStr">
        <is>
          <t>Expected Response
(Kết quả mong đợi)</t>
        </is>
      </c>
      <c r="I10" s="32" t="inlineStr">
        <is>
          <t>Actual Response
(Kết quả thực tế)</t>
        </is>
      </c>
      <c r="J10" s="32" t="inlineStr">
        <is>
          <t>Testcase Types</t>
        </is>
      </c>
      <c r="K10" s="32" t="inlineStr">
        <is>
          <t>Status
(Trạng thái)</t>
        </is>
      </c>
      <c r="L10" s="32" t="inlineStr">
        <is>
          <t>Comment
(Chú thích)</t>
        </is>
      </c>
    </row>
    <row r="11" ht="203.25" customHeight="1">
      <c r="A11" s="110" t="inlineStr">
        <is>
          <t>PERF-LV-SC-001</t>
        </is>
      </c>
      <c r="B11" s="29" t="inlineStr">
        <is>
          <t>Khởi tạo bài đo Liveview nhiều camera</t>
        </is>
      </c>
      <c r="C11" s="29" t="inlineStr">
        <is>
          <t>PERF-LV-TC-001</t>
        </is>
      </c>
      <c r="D11" s="29" t="inlineStr">
        <is>
          <t>Mở Liveview layout 122 camera thành công</t>
        </is>
      </c>
      <c r="E11" s="29" t="inlineStr">
        <is>
          <t xml:space="preserve"> layout 122 camera đã được setup; bài đo chạy bằng MSE/WebSocket trên môi trường thật.</t>
        </is>
      </c>
      <c r="F11" s="29" t="inlineStr">
        <is>
          <t>1. Mở Chrome/Chromium.
2. Truy cập URL Liveview layout 122 camera.
3. Chờ UI load hoàn tất.
4. Quan sát toolbar và grid camera.</t>
        </is>
      </c>
      <c r="G11" s="29" t="inlineStr">
        <is>
          <t>URL: http://180.148.1.242:8004/liveview?isPlayback=false&amp;id=71f52bed-cfb4-4c2b-8f22-7060ac7d164c&amp;type=layout&amp;date=09%2F06%2F2026
Stream mode: MSE/WebSocket</t>
        </is>
      </c>
      <c r="H11" s="29" t="inlineStr">
        <is>
          <t>1. Trang Liveview mở thành công.
2. Không crash, không trắng màn hình.
3. Toolbar hiển thị thông tin camera.
4. Grid camera hiển thị đúng layout nhiều camera.</t>
        </is>
      </c>
      <c r="I11" s="29" t="inlineStr">
        <is>
          <t>1. Liveview mở được và bài đo chạy đủ 1 giờ.
2. Toolbar ghi nhận 122 camera, gồm 71 online và 51 offline.
3. Có ảnh minh chứng đầu/giữa/cuối bài đo.
4. Không ghi nhận page crash trong raw result.</t>
        </is>
      </c>
      <c r="J11" s="29" t="inlineStr">
        <is>
          <t>Performance/Smoke</t>
        </is>
      </c>
      <c r="K11" s="33" t="inlineStr">
        <is>
          <t>PASS</t>
        </is>
      </c>
      <c r="L11" s="29" t="inlineStr">
        <is>
          <t>Đạt điều kiện mở màn hình và bắt đầu bài đo.</t>
        </is>
      </c>
    </row>
    <row r="12" ht="203.25" customHeight="1">
      <c r="A12" s="111" t="n"/>
      <c r="B12" s="29" t="inlineStr">
        <is>
          <t>Khởi tạo bài đo Liveview nhiều camera</t>
        </is>
      </c>
      <c r="C12" s="29" t="inlineStr">
        <is>
          <t>PERF-LV-TC-002</t>
        </is>
      </c>
      <c r="D12" s="29" t="inlineStr">
        <is>
          <t>Ghi nhận số camera online/offline</t>
        </is>
      </c>
      <c r="E12" s="29" t="inlineStr">
        <is>
          <t xml:space="preserve"> layout 122 camera đã được setup; bài đo chạy bằng MSE/WebSocket trên môi trường thật.</t>
        </is>
      </c>
      <c r="F12" s="29" t="inlineStr">
        <is>
          <t>1. Quan sát toolbar.
2. Ghi nhận tổng camera.
3. Ghi nhận camera online.
4. Ghi nhận camera offline.
5. Tách camera offline khỏi scope đánh giá performance chính.</t>
        </is>
      </c>
      <c r="G12" s="29" t="inlineStr">
        <is>
          <t>Tổng camera, online, offline</t>
        </is>
      </c>
      <c r="H12" s="29" t="inlineStr">
        <is>
          <t>1. Ghi rõ tổng camera, camera online, camera offline.
2. Camera offline được note riêng.
3. Camera offline không dùng để kết luận FPS/giật lag.</t>
        </is>
      </c>
      <c r="I12" s="29" t="inlineStr">
        <is>
          <t>1. Toolbar ghi nhận 122 camera.
2. Có 71 camera online.
3. Có 51 camera offline.
4. Camera offline đã được tách riêng trong báo cáo đánh giá.</t>
        </is>
      </c>
      <c r="J12" s="29" t="inlineStr">
        <is>
          <t>Performance/Data Scope</t>
        </is>
      </c>
      <c r="K12" s="33" t="inlineStr">
        <is>
          <t>PASS</t>
        </is>
      </c>
      <c r="L12" s="29" t="inlineStr">
        <is>
          <t>Scope đánh giá chính là camera online.</t>
        </is>
      </c>
    </row>
    <row r="13" ht="203.25" customHeight="1">
      <c r="A13" s="111" t="n"/>
      <c r="B13" s="29" t="inlineStr">
        <is>
          <t>Kiểm tra stream camera online</t>
        </is>
      </c>
      <c r="C13" s="29" t="inlineStr">
        <is>
          <t>PERF-LV-TC-003</t>
        </is>
      </c>
      <c r="D13" s="29" t="inlineStr">
        <is>
          <t>Camera online có hình/frame hiển thị</t>
        </is>
      </c>
      <c r="E13" s="29" t="inlineStr">
        <is>
          <t xml:space="preserve"> layout 122 camera đã được setup; bài đo chạy bằng MSE/WebSocket trên môi trường thật.</t>
        </is>
      </c>
      <c r="F13" s="29" t="inlineStr">
        <is>
          <t>1. Lấy danh sách video/camera online.
2. Kiểm tra camera có frame/hình ảnh.
3. Ghi nhận số camera có frame.
4. Chụp ảnh minh chứng.</t>
        </is>
      </c>
      <c r="G13" s="29" t="inlineStr">
        <is>
          <t>Metric: videosHaveDimensionsEnd</t>
        </is>
      </c>
      <c r="H13" s="29" t="inlineStr">
        <is>
          <t>1. Camera online có khả năng hiển thị hình ảnh.
2. Báo cáo ghi rõ số camera có frame/tổng camera online.
3. Camera không có frame được note để kiểm tra stream/source.</t>
        </is>
      </c>
      <c r="I13" s="29" t="inlineStr">
        <is>
          <t>1. Trong 71 camera online, có 42 camera có frame/hình ảnh ở mẫu cuối.
2. Tỷ lệ camera online có frame khoảng 59.2%.
3. Kết quả chỉ đạt một phần vì chưa phải toàn bộ camera online đều có frame.</t>
        </is>
      </c>
      <c r="J13" s="29" t="inlineStr">
        <is>
          <t>Performance/Stream</t>
        </is>
      </c>
      <c r="K13" s="34" t="inlineStr">
        <is>
          <t>WARN</t>
        </is>
      </c>
      <c r="L13" s="29" t="inlineStr">
        <is>
          <t>Có camera lên hình nhưng tỷ lệ chưa đủ cao để kết luận ổn định toàn bộ.</t>
        </is>
      </c>
    </row>
    <row r="14" ht="203.25" customHeight="1">
      <c r="A14" s="111" t="n"/>
      <c r="B14" s="29" t="inlineStr">
        <is>
          <t>Kiểm tra stream camera online</t>
        </is>
      </c>
      <c r="C14" s="29" t="inlineStr">
        <is>
          <t>PERF-LV-TC-004</t>
        </is>
      </c>
      <c r="D14" s="29" t="inlineStr">
        <is>
          <t>Camera online có stream cập nhật theo thời gian</t>
        </is>
      </c>
      <c r="E14" s="29" t="inlineStr">
        <is>
          <t xml:space="preserve"> layout 122 camera đã được setup; bài đo chạy bằng MSE/WebSocket trên môi trường thật.</t>
        </is>
      </c>
      <c r="F14" s="29" t="inlineStr">
        <is>
          <t>1. Lấy currentTime của video tại mẫu đầu.
2. Chờ mẫu tiếp theo.
3. So sánh currentTime thay đổi.
4. Ghi nhận số camera có stream cập nhật.</t>
        </is>
      </c>
      <c r="G14" s="29" t="inlineStr">
        <is>
          <t>Metric: changedVideoCurrentTimeLastSample</t>
        </is>
      </c>
      <c r="H14" s="29" t="inlineStr">
        <is>
          <t>1. Camera online đang hoạt động phải có thời gian video thay đổi.
2. Báo cáo ghi rõ số camera stream cập nhật/tổng online.
3. Nếu tỷ lệ thấp, kết luận nhóm camera online chưa ổn định.</t>
        </is>
      </c>
      <c r="I14" s="29" t="inlineStr">
        <is>
          <t>1. Trong 71 camera online, có 42 camera có currentTime thay đổi ở mẫu cuối.
2. Tỷ lệ stream cập nhật là 59.2%.
3. Không đạt ngưỡng đề xuất 90% camera online cập nhật.</t>
        </is>
      </c>
      <c r="J14" s="29" t="inlineStr">
        <is>
          <t>Performance/Stream</t>
        </is>
      </c>
      <c r="K14" s="35" t="inlineStr">
        <is>
          <t>FAIL</t>
        </is>
      </c>
      <c r="L14" s="29" t="inlineStr">
        <is>
          <t>Nhóm camera online chưa ổn định hoàn toàn.</t>
        </is>
      </c>
    </row>
    <row r="15" ht="203.25" customHeight="1">
      <c r="A15" s="111" t="n"/>
      <c r="B15" s="29" t="inlineStr">
        <is>
          <t>Độ mượt UI</t>
        </is>
      </c>
      <c r="C15" s="29" t="inlineStr">
        <is>
          <t>PERF-LV-TC-005</t>
        </is>
      </c>
      <c r="D15" s="29" t="inlineStr">
        <is>
          <t>Đo FPS trung bình khi mở nhiều camera</t>
        </is>
      </c>
      <c r="E15" s="29" t="inlineStr">
        <is>
          <t xml:space="preserve"> layout 122 camera đã được setup; bài đo chạy bằng MSE/WebSocket trên môi trường thật.</t>
        </is>
      </c>
      <c r="F15" s="29" t="inlineStr">
        <is>
          <t>1. Bắt đầu đo FPS bằng requestAnimationFrame.
2. Lấy mẫu định kỳ trong 1 giờ.
3. Tính FPS trung bình.
4. So sánh với ngưỡng nghiệm thu.</t>
        </is>
      </c>
      <c r="G15" s="29" t="inlineStr">
        <is>
          <t>Ngưỡng đề xuất: FPS trung bình &gt;= 50</t>
        </is>
      </c>
      <c r="H15" s="29" t="inlineStr">
        <is>
          <t>1. FPS trung bình đạt ngưỡng kỳ vọng.
2. Nếu FPS trung bình &lt; 50, ghi nhận UI chưa mượt.
3. Báo cáo có số FPS cụ thể.</t>
        </is>
      </c>
      <c r="I15" s="29" t="inlineStr">
        <is>
          <t>1. Đã chạy đo FPS targeted trong 1 giờ bằng requestAnimationFrame.
2. FPS trung bình ghi nhận 49.1.
3. Ngưỡng kỳ vọng là FPS trung bình &gt;= 50.
4. Cách tính: FPS = 1000 / thời gian trung bình giữa các frame.
5. Kết quả thấp hơn ngưỡng, màn Liveview nhiều camera vẫn có dấu hiệu chưa thật sự mượt.</t>
        </is>
      </c>
      <c r="J15" s="29" t="inlineStr">
        <is>
          <t>Performance/FPS</t>
        </is>
      </c>
      <c r="K15" s="35" t="inlineStr">
        <is>
          <t>FAIL</t>
        </is>
      </c>
      <c r="L15" s="29" t="inlineStr">
        <is>
          <t>Không đạt ngưỡng FPS trung bình &gt;= 50.</t>
        </is>
      </c>
    </row>
    <row r="16" ht="203.25" customHeight="1">
      <c r="A16" s="111" t="n"/>
      <c r="B16" s="29" t="inlineStr">
        <is>
          <t>Độ mượt UI</t>
        </is>
      </c>
      <c r="C16" s="29" t="inlineStr">
        <is>
          <t>PERF-LV-TC-006</t>
        </is>
      </c>
      <c r="D16" s="29" t="inlineStr">
        <is>
          <t>Đo FPS thấp nhất và frame delay bất thường</t>
        </is>
      </c>
      <c r="E16" s="29" t="inlineStr">
        <is>
          <t xml:space="preserve"> layout 122 camera đã được setup; bài đo chạy bằng MSE/WebSocket trên môi trường thật.</t>
        </is>
      </c>
      <c r="F16" s="29" t="inlineStr">
        <is>
          <t>1. Theo dõi FPS thấp nhất.
2. Tính P95 frame delta.
3. Ghi nhận max frame delta.
4. Note thời điểm có khựng nếu có.</t>
        </is>
      </c>
      <c r="G16" s="29" t="inlineStr">
        <is>
          <t>Metrics: minFps, p95FrameDeltaMs, maxFrameDeltaMs</t>
        </is>
      </c>
      <c r="H16" s="29" t="inlineStr">
        <is>
          <t>1. FPS thấp nhất không tụt sâu trong thời gian dài.
2. P95 frame delta không vượt ngưỡng gây khựng rõ.
3. Frame delay bất thường được ghi nhận.</t>
        </is>
      </c>
      <c r="I16" s="29" t="inlineStr">
        <is>
          <t>1. FPS thấp nhất ghi nhận 33.8.
2. P95 frame delta ghi nhận 33.4 ms.
3. Max frame delta ghi nhận 150 ms.
4. Cách tính frame delta: lấy thời gian giữa 2 frame liên tiếp bằng requestAnimationFrame.
5. Có frame delay/chậm khung trong bài đo, cần theo dõi thêm khi chạy bài đo dài hơn.</t>
        </is>
      </c>
      <c r="J16" s="29" t="inlineStr">
        <is>
          <t>Performance/Jank</t>
        </is>
      </c>
      <c r="K16" s="34" t="inlineStr">
        <is>
          <t>WARN</t>
        </is>
      </c>
      <c r="L16" s="29" t="inlineStr">
        <is>
          <t>Có frame delay, chưa fail crash nhưng cần theo dõi độ mượt.</t>
        </is>
      </c>
    </row>
    <row r="17" ht="203.25" customHeight="1">
      <c r="A17" s="111" t="n"/>
      <c r="B17" s="29" t="inlineStr">
        <is>
          <t>Thao tác khi tải cao</t>
        </is>
      </c>
      <c r="C17" s="29" t="inlineStr">
        <is>
          <t>PERF-LV-TC-007</t>
        </is>
      </c>
      <c r="D17" s="29" t="inlineStr">
        <is>
          <t>UI vẫn thao tác được khi đang mở nhiều camera</t>
        </is>
      </c>
      <c r="E17" s="29" t="inlineStr">
        <is>
          <t xml:space="preserve"> layout 122 camera đã được setup; bài đo chạy bằng MSE/WebSocket trên môi trường thật.</t>
        </is>
      </c>
      <c r="F17" s="29" t="inlineStr">
        <is>
          <t>1. Scroll vùng camera nếu có.
2. Click dropdown/control.
3. Chuyển option hiển thị/stream nếu có.
4. Quan sát độ phản hồi.</t>
        </is>
      </c>
      <c r="G17" s="29" t="inlineStr">
        <is>
          <t>Actions: scroll, click control, mở dropdown</t>
        </is>
      </c>
      <c r="H17" s="29" t="inlineStr">
        <is>
          <t>1. UI không treo khi thao tác.
2. Control phản hồi trong thời gian chấp nhận được.
3. Không reload hoặc mất layout bất thường.</t>
        </is>
      </c>
      <c r="I17" s="29" t="inlineStr">
        <is>
          <t>1. Đã thực hiện 4 thao tác UI trong lúc Liveview nhiều camera đang chạy.
2. 4 thao tác PASS, 0 thao tác FAIL.
3. Các thao tác đã chạy: scroll xuống, scroll lên, mở/đóng dropdown MSE/WebSocket, mở/đóng dropdown kiểu hiển thị.
4. Không ghi nhận page crash hoặc reload/mất layout trong lúc thao tác.</t>
        </is>
      </c>
      <c r="J17" s="29" t="inlineStr">
        <is>
          <t>Performance/Interaction</t>
        </is>
      </c>
      <c r="K17" s="33" t="inlineStr">
        <is>
          <t>PASS</t>
        </is>
      </c>
      <c r="L17" s="29" t="inlineStr">
        <is>
          <t>Đã chạy thao tác UI targeted, không còn NOT RUN.</t>
        </is>
      </c>
    </row>
    <row r="18" ht="203.25" customHeight="1">
      <c r="A18" s="111" t="n"/>
      <c r="B18" s="29" t="inlineStr">
        <is>
          <t>Thao tác khi tải cao</t>
        </is>
      </c>
      <c r="C18" s="29" t="inlineStr">
        <is>
          <t>PERF-LV-TC-008</t>
        </is>
      </c>
      <c r="D18" s="29" t="inlineStr">
        <is>
          <t>Không phát sinh layout shift/chồng UI</t>
        </is>
      </c>
      <c r="E18" s="29" t="inlineStr">
        <is>
          <t xml:space="preserve"> layout 122 camera đã được setup; bài đo chạy bằng MSE/WebSocket trên môi trường thật.</t>
        </is>
      </c>
      <c r="F18" s="29" t="inlineStr">
        <is>
          <t>1. Quan sát grid ở đầu, giữa, cuối bài đo.
2. Kiểm tra tile có chồng nhau không.
3. Kiểm tra toolbar/control không che nội dung.
4. Chụp ảnh minh chứng.</t>
        </is>
      </c>
      <c r="G18" s="29" t="inlineStr">
        <is>
          <t>Screenshots: 3 ảnh</t>
        </is>
      </c>
      <c r="H18" s="29" t="inlineStr">
        <is>
          <t>1. Grid giữ layout ổn định.
2. Không có tile vỡ khung, text chồng nhau.
3. Ảnh minh chứng được đính kèm báo cáo.</t>
        </is>
      </c>
      <c r="I18" s="29" t="inlineStr">
        <is>
          <t>1. Bài đo có 3 ảnh minh chứng start/mid/end.
2. Layout-shift event ghi nhận 2720, cumulative layout shift cao nhất 0.0125.
3. CLS thấp nên chưa ghi nhận vỡ layout nghiêm trọng qua metric.
4. Tuy nhiên vẫn có dịch chuyển layout trong quá trình camera/tile load, nên cần theo dõi thêm bằng ảnh/video khi chạy bài đo dài hơn.</t>
        </is>
      </c>
      <c r="J18" s="29" t="inlineStr">
        <is>
          <t>UI/Performance</t>
        </is>
      </c>
      <c r="K18" s="34" t="inlineStr">
        <is>
          <t>WARN</t>
        </is>
      </c>
      <c r="L18" s="29" t="inlineStr">
        <is>
          <t>Có layout-shift event nhưng CLS thấp; chưa kết luận vỡ layout nghiêm trọng.</t>
        </is>
      </c>
    </row>
    <row r="19" ht="203.25" customHeight="1">
      <c r="A19" s="111" t="n"/>
      <c r="B19" s="29" t="inlineStr">
        <is>
          <t>MSE/WebSocket stream</t>
        </is>
      </c>
      <c r="C19" s="29" t="inlineStr">
        <is>
          <t>PERF-LV-TC-009</t>
        </is>
      </c>
      <c r="D19" s="29" t="inlineStr">
        <is>
          <t>Không có log MSE reconnect/waiting/stalled lặp bất thường</t>
        </is>
      </c>
      <c r="E19" s="29" t="inlineStr">
        <is>
          <t xml:space="preserve"> layout 122 camera đã được setup; bài đo chạy bằng MSE/WebSocket trên môi trường thật.</t>
        </is>
      </c>
      <c r="F19" s="29" t="inlineStr">
        <is>
          <t>1. Thu console log trong bài đo.
2. Gom nhóm lỗi MSE.
3. Đếm lỗi waiting/stalled/timeout/reconnect.
4. Đưa top lỗi vào báo cáo.</t>
        </is>
      </c>
      <c r="G19" s="29" t="inlineStr">
        <is>
          <t>Patterns: Video waiting for data, MSE initialization timeout, Stream stalled, forcing reconnect</t>
        </is>
      </c>
      <c r="H19" s="29" t="inlineStr">
        <is>
          <t>1. Không có lỗi MSE lặp tần suất cao.
2. Nếu lỗi lặp nhiều, kết luận stream MSE chưa ổn định.
3. Báo cáo có top lỗi và mẫu log raw.</t>
        </is>
      </c>
      <c r="I19" s="29" t="inlineStr">
        <is>
          <t>1. Summary ghi nhận 21514 console error.
2. Raw JSON lưu 198432 dòng console log.
3. Top lỗi console:
- [MSE Player] Video waiting for data during playback: 172983 lần
- MSE initialization timeout: Error: Timeout waiting for response: 20771 lần
- [MSE Player] Stream stalled due to excessive buffering, jumping to live: 909 lần
- Failed to load resource: the server responded with a status of 404 (Not Found): 492 lần
- [MP4 Player] Video element error: MediaError: 158 lần</t>
        </is>
      </c>
      <c r="J19" s="29" t="inlineStr">
        <is>
          <t>Performance/Console</t>
        </is>
      </c>
      <c r="K19" s="35" t="inlineStr">
        <is>
          <t>FAIL</t>
        </is>
      </c>
      <c r="L19" s="29" t="inlineStr">
        <is>
          <t>Console/MSE error cao, cần kiểm tra stream MSE/WebSocket.</t>
        </is>
      </c>
    </row>
    <row r="20" ht="203.25" customHeight="1">
      <c r="A20" s="111" t="n"/>
      <c r="B20" s="29" t="inlineStr">
        <is>
          <t>Network/media request</t>
        </is>
      </c>
      <c r="C20" s="29" t="inlineStr">
        <is>
          <t>PERF-LV-TC-010</t>
        </is>
      </c>
      <c r="D20" s="29" t="inlineStr">
        <is>
          <t>Không có request media/API lỗi vượt ngưỡng</t>
        </is>
      </c>
      <c r="E20" s="29" t="inlineStr">
        <is>
          <t xml:space="preserve"> layout 122 camera đã được setup; bài đo chạy bằng MSE/WebSocket trên môi trường thật.</t>
        </is>
      </c>
      <c r="F20" s="29" t="inlineStr">
        <is>
          <t>1. Thu failed requests.
2. Gom nhóm theo status/error text.
3. Ghi nhận số request lỗi.
4. Đưa nhóm lỗi chính vào báo cáo.</t>
        </is>
      </c>
      <c r="G20" s="29" t="inlineStr">
        <is>
          <t>Metric: failedRequestCount</t>
        </is>
      </c>
      <c r="H20" s="29" t="inlineStr">
        <is>
          <t>1. Request lỗi không vượt ngưỡng nghiệm thu.
2. Lỗi 401/404/range/media được note rõ.
3. Báo cáo chỉ ra nhóm lỗi chính để trace.</t>
        </is>
      </c>
      <c r="I20" s="29" t="inlineStr">
        <is>
          <t>1. Ghi nhận 131 failed request trong 1 giờ.
2. Có lỗi media/API cần kiểm tra thêm.
3. Số request lỗi chưa phải nguyên nhân duy nhất nhưng là rủi ro vận hành.</t>
        </is>
      </c>
      <c r="J20" s="29" t="inlineStr">
        <is>
          <t>Performance/Network</t>
        </is>
      </c>
      <c r="K20" s="34" t="inlineStr">
        <is>
          <t>WARN</t>
        </is>
      </c>
      <c r="L20" s="29" t="inlineStr">
        <is>
          <t>Có request lỗi, cần theo dõi và gom nhóm khi gửi dev.</t>
        </is>
      </c>
    </row>
    <row r="21" ht="203.25" customHeight="1">
      <c r="A21" s="111" t="n"/>
      <c r="B21" s="29" t="inlineStr">
        <is>
          <t>Memory và long task</t>
        </is>
      </c>
      <c r="C21" s="29" t="inlineStr">
        <is>
          <t>PERF-LV-TC-011</t>
        </is>
      </c>
      <c r="D21" s="29" t="inlineStr">
        <is>
          <t>Không có dấu hiệu memory leak trong 1 giờ</t>
        </is>
      </c>
      <c r="E21" s="29" t="inlineStr">
        <is>
          <t xml:space="preserve"> layout 122 camera đã được setup; bài đo chạy bằng MSE/WebSocket trên môi trường thật.</t>
        </is>
      </c>
      <c r="F21" s="29" t="inlineStr">
        <is>
          <t>1. Ghi nhận JS heap đầu bài đo.
2. Ghi nhận JS heap cuối bài đo.
3. Tính heap delta.
4. So sánh với ngưỡng nghiệm thu.</t>
        </is>
      </c>
      <c r="G21" s="29" t="inlineStr">
        <is>
          <t>Metrics: heapStartMB, heapEndMB, heapDeltaMB</t>
        </is>
      </c>
      <c r="H21" s="29" t="inlineStr">
        <is>
          <t>1. JS heap không tăng bất thường.
2. Nếu tăng mạnh, ghi nhận WARN/FAIL.
3. Memory được đánh giá riêng với FPS/stream.</t>
        </is>
      </c>
      <c r="I21" s="29" t="inlineStr">
        <is>
          <t>1. JS heap tăng khoảng 2.03 MB sau 1 giờ.
2. Mức tăng nhẹ, chưa thấy dấu hiệu memory leak nghiêm trọng.
3. Memory tạm đạt trong phạm vi bài đo này.</t>
        </is>
      </c>
      <c r="J21" s="29" t="inlineStr">
        <is>
          <t>Performance/Memory</t>
        </is>
      </c>
      <c r="K21" s="33" t="inlineStr">
        <is>
          <t>PASS</t>
        </is>
      </c>
      <c r="L21" s="29" t="inlineStr">
        <is>
          <t>Memory không phải điểm fail chính hiện tại.</t>
        </is>
      </c>
    </row>
    <row r="22" ht="203.25" customHeight="1">
      <c r="A22" s="111" t="n"/>
      <c r="B22" s="29" t="inlineStr">
        <is>
          <t>Memory và long task</t>
        </is>
      </c>
      <c r="C22" s="29" t="inlineStr">
        <is>
          <t>PERF-LV-TC-012</t>
        </is>
      </c>
      <c r="D22" s="29" t="inlineStr">
        <is>
          <t>Long task không tăng cao khi giám sát lâu</t>
        </is>
      </c>
      <c r="E22" s="29" t="inlineStr">
        <is>
          <t xml:space="preserve"> layout 122 camera đã được setup; bài đo chạy bằng MSE/WebSocket trên môi trường thật.</t>
        </is>
      </c>
      <c r="F22" s="29" t="inlineStr">
        <is>
          <t>1. Ghi nhận long task đầu bài đo.
2. Ghi nhận long task cuối bài đo.
3. Tính long task phát sinh.
4. Đối chiếu với trải nghiệm UI.</t>
        </is>
      </c>
      <c r="G22" s="29" t="inlineStr">
        <is>
          <t>Metric: longTaskDelta</t>
        </is>
      </c>
      <c r="H22" s="29" t="inlineStr">
        <is>
          <t>1. Long task không tăng nhiều.
2. Nếu tăng cao, UI có nguy cơ khựng khi thao tác.
3. Báo cáo ghi rõ số long task phát sinh.</t>
        </is>
      </c>
      <c r="I22" s="29" t="inlineStr">
        <is>
          <t>1. Long task phát sinh thêm 7 lần trong 1 giờ.
2. Không quá cao nhưng kết hợp với FPS thấp nên vẫn cần tối ưu render/stream.
3. Đánh giá mức cảnh báo.</t>
        </is>
      </c>
      <c r="J22" s="29" t="inlineStr">
        <is>
          <t>Performance/Long Task</t>
        </is>
      </c>
      <c r="K22" s="34" t="inlineStr">
        <is>
          <t>WARN</t>
        </is>
      </c>
      <c r="L22" s="29" t="inlineStr">
        <is>
          <t>Không fail riêng long task, nhưng liên quan đến độ mượt tổng thể.</t>
        </is>
      </c>
    </row>
    <row r="23" ht="203.25" customHeight="1">
      <c r="A23" s="111" t="n"/>
      <c r="B23" s="29" t="inlineStr">
        <is>
          <t>Soak test</t>
        </is>
      </c>
      <c r="C23" s="29" t="inlineStr">
        <is>
          <t>PERF-LV-TC-013</t>
        </is>
      </c>
      <c r="D23" s="29" t="inlineStr">
        <is>
          <t>Giữ Liveview nhiều camera trong 1 giờ</t>
        </is>
      </c>
      <c r="E23" s="29" t="inlineStr">
        <is>
          <t xml:space="preserve"> layout 122 camera đã được setup; bài đo chạy bằng MSE/WebSocket trên môi trường thật.</t>
        </is>
      </c>
      <c r="F23" s="29" t="inlineStr">
        <is>
          <t>1. Mở Liveview 122 camera.
2. Chạy đo liên tục 1 giờ.
3. Chụp ảnh đầu/giữa/cuối bài đo.
4. Xuất raw JSON và Excel report.</t>
        </is>
      </c>
      <c r="G23" s="29" t="inlineStr">
        <is>
          <t>Duration: 1 giờ; Evidence: screenshot + raw JSON + Excel</t>
        </is>
      </c>
      <c r="H23" s="29" t="inlineStr">
        <is>
          <t>1. Trang không crash trong 1 giờ.
2. Stream camera online vẫn cập nhật theo tỷ lệ nghiệm thu.
3. FPS, memory, console, network được ghi nhận đầy đủ.
4. Báo cáo có ảnh minh chứng.</t>
        </is>
      </c>
      <c r="I23" s="29" t="inlineStr">
        <is>
          <t>1. Trang chạy đủ 1 giờ và có evidence.
2. Tuy nhiên chỉ 42/71 camera online có stream cập nhật ở mẫu cuối.
3. FPS trung bình 35.3, console error cao.
4. Kết luận soak test chưa đạt ổn định.</t>
        </is>
      </c>
      <c r="J23" s="29" t="inlineStr">
        <is>
          <t>Performance/Soak</t>
        </is>
      </c>
      <c r="K23" s="35" t="inlineStr">
        <is>
          <t>FAIL</t>
        </is>
      </c>
      <c r="L23" s="29" t="inlineStr">
        <is>
          <t>Không crash nhưng chưa đạt ổn định vận hành.</t>
        </is>
      </c>
    </row>
    <row r="24" ht="203.25" customHeight="1">
      <c r="A24" s="111" t="n"/>
      <c r="B24" s="29" t="inlineStr">
        <is>
          <t>Báo cáo và bằng chứng</t>
        </is>
      </c>
      <c r="C24" s="29" t="inlineStr">
        <is>
          <t>PERF-LV-TC-014</t>
        </is>
      </c>
      <c r="D24" s="29" t="inlineStr">
        <is>
          <t>Báo cáo có đủ thông tin máy chạy test</t>
        </is>
      </c>
      <c r="E24" s="29" t="inlineStr">
        <is>
          <t>Bài đo đã hoàn tất</t>
        </is>
      </c>
      <c r="F24" s="29" t="inlineStr">
        <is>
          <t>1. Xuất báo cáo Excel.
2. Kiểm tra CPU/RAM/GPU/OS.
3. Kiểm tra browser/viewport/duration.
4. Ghi chú cấu hình trong kết luận.</t>
        </is>
      </c>
      <c r="G24" s="29" t="inlineStr">
        <is>
          <t>Máy chạy test: Intel Core i5-14400F, RAM khoảng 32 GB, NVIDIA GeForce RTX 3060, Windows 11 Pro 64-bit.</t>
        </is>
      </c>
      <c r="H24" s="29" t="inlineStr">
        <is>
          <t>1. Báo cáo ghi rõ cấu hình máy chạy test.
2. Người đọc biết kết quả phản ánh trên máy nào.
3. Kết luận performance có ngữ cảnh theo cấu hình máy.</t>
        </is>
      </c>
      <c r="I24" s="29" t="inlineStr">
        <is>
          <t>1. Báo cáo performance đã bổ sung cấu hình máy chạy test.
2. Máy chạy test: Intel Core i5-14400F, RAM khoảng 32 GB, NVIDIA GeForce RTX 3060, Windows 11 Pro 64-bit.
3. Kết quả được hiểu theo cấu hình máy dùng để chạy bài đánh giá này.</t>
        </is>
      </c>
      <c r="J24" s="29" t="inlineStr">
        <is>
          <t>Report/Evidence</t>
        </is>
      </c>
      <c r="K24" s="33" t="inlineStr">
        <is>
          <t>PASS</t>
        </is>
      </c>
      <c r="L24" s="29" t="inlineStr">
        <is>
          <t>Đạt yêu cầu thông tin môi trường.</t>
        </is>
      </c>
    </row>
    <row r="25" ht="203.25" customHeight="1">
      <c r="A25" s="111" t="n"/>
      <c r="B25" s="29" t="inlineStr">
        <is>
          <t>Báo cáo và bằng chứng</t>
        </is>
      </c>
      <c r="C25" s="29" t="inlineStr">
        <is>
          <t>PERF-LV-TC-015</t>
        </is>
      </c>
      <c r="D25" s="29" t="inlineStr">
        <is>
          <t>Báo cáo có ảnh minh chứng UI và console</t>
        </is>
      </c>
      <c r="E25" s="29" t="inlineStr">
        <is>
          <t>Bài đo đã có screenshot/log</t>
        </is>
      </c>
      <c r="F25" s="29" t="inlineStr">
        <is>
          <t>1. Mở báo cáo Excel.
2. Kiểm tra ảnh start/mid/end.
3. Kiểm tra ảnh/log console evidence nếu có lỗi cao.
4. Đối chiếu với actual result.</t>
        </is>
      </c>
      <c r="G25" s="29" t="inlineStr">
        <is>
          <t>Evidence: start/mid/end screenshot, console evidence PNG</t>
        </is>
      </c>
      <c r="H25" s="29" t="inlineStr">
        <is>
          <t>1. Báo cáo có ảnh minh chứng UI.
2. Nếu console error cao, có bằng chứng log/ảnh tương ứng.
3. Evidence nằm trong cùng file báo cáo để dễ gửi.</t>
        </is>
      </c>
      <c r="I25" s="29" t="inlineStr">
        <is>
          <t>1. Có 3 ảnh UI start/mid/end.
2. Có ảnh minh chứng console error được tạo từ raw JSON.
3. Evidence đã được nhúng vào báo cáo Excel.</t>
        </is>
      </c>
      <c r="J25" s="29" t="inlineStr">
        <is>
          <t>Report/Evidence</t>
        </is>
      </c>
      <c r="K25" s="33" t="inlineStr">
        <is>
          <t>PASS</t>
        </is>
      </c>
      <c r="L25" s="29" t="inlineStr">
        <is>
          <t>Đạt yêu cầu bằng chứng gửi team.</t>
        </is>
      </c>
    </row>
    <row r="26" ht="203.25" customHeight="1">
      <c r="A26" s="111" t="n"/>
      <c r="B26" s="29" t="inlineStr">
        <is>
          <t>Edge case performance</t>
        </is>
      </c>
      <c r="C26" s="29" t="inlineStr">
        <is>
          <t>PERF-LV-TC-016</t>
        </is>
      </c>
      <c r="D26" s="29" t="inlineStr">
        <is>
          <t>Camera mất kết nối/reconnecting không làm crash layout</t>
        </is>
      </c>
      <c r="E26" s="29" t="inlineStr">
        <is>
          <t xml:space="preserve"> layout 122 camera đã được setup; bài đo chạy bằng MSE/WebSocket trên môi trường thật.</t>
        </is>
      </c>
      <c r="F26" s="29" t="inlineStr">
        <is>
          <t>1. Theo dõi camera chuyển trạng thái mất kết nối/reconnecting.
2. Kiểm tra UI recover nếu stream hồi phục.
3. Ghi nhận log reconnect.
4. Đánh giá ảnh hưởng toàn layout.</t>
        </is>
      </c>
      <c r="G26" s="29" t="inlineStr">
        <is>
          <t>Status text: Camera mất kết nối, Camera bị gián đoạn, Reconnecting</t>
        </is>
      </c>
      <c r="H26" s="29" t="inlineStr">
        <is>
          <t>1. UI hiển thị trạng thái mất kết nối rõ ràng.
2. Reconnect không làm crash toàn bộ layout.
3. Báo cáo tách lỗi source camera với lỗi UI performance.</t>
        </is>
      </c>
      <c r="I26" s="29" t="inlineStr">
        <is>
          <t>1. Toolbar ghi nhận 51 camera offline.
2. Console có nhóm lỗi waiting/stalled/reconnect.
3. Layout không crash toàn bộ nhưng stream online/offline chưa ổn định.
4. Cần tách lỗi source camera và lỗi MSE/WebSocket khi gửi kết luận.</t>
        </is>
      </c>
      <c r="J26" s="29" t="inlineStr">
        <is>
          <t>Performance/Edge</t>
        </is>
      </c>
      <c r="K26" s="35" t="inlineStr">
        <is>
          <t>FAIL</t>
        </is>
      </c>
      <c r="L26" s="29" t="inlineStr">
        <is>
          <t>Không crash nhưng tình trạng offline/reconnect còn nhiều.</t>
        </is>
      </c>
    </row>
    <row r="27" ht="203.25" customHeight="1">
      <c r="A27" s="112" t="n"/>
      <c r="B27" s="29" t="inlineStr">
        <is>
          <t>Tiêu chí nghiệm thu</t>
        </is>
      </c>
      <c r="C27" s="29" t="inlineStr">
        <is>
          <t>PERF-LV-TC-017</t>
        </is>
      </c>
      <c r="D27" s="29" t="inlineStr">
        <is>
          <t>Kết luận PASS/FAIL theo ngưỡng rõ ràng</t>
        </is>
      </c>
      <c r="E27" s="29" t="inlineStr">
        <is>
          <t>Có đầy đủ metric sau bài đo</t>
        </is>
      </c>
      <c r="F27" s="29" t="inlineStr">
        <is>
          <t>1. Tổng hợp số liệu sau khi chạy.
2. So sánh từng metric với ngưỡng.
3. Đưa kết luận cuối cùng.
4. Ghi rõ lý do nếu FAIL/WARN.</t>
        </is>
      </c>
      <c r="G27" s="29" t="inlineStr">
        <is>
          <t>Ngưỡng đề xuất: FPS avg &gt;= 50; camera online cập nhật &gt;= 90%; không crash; không reconnect/error lặp cao; memory không tăng bất thường</t>
        </is>
      </c>
      <c r="H27" s="29" t="inlineStr">
        <is>
          <t>1. PASS nếu tất cả ngưỡng chính đạt.
2. FAIL nếu camera online cập nhật thấp, FPS thấp hoặc lỗi console/network cao.
3. Kết luận kèm số liệu và bằng chứng.</t>
        </is>
      </c>
      <c r="I27" s="29" t="inlineStr">
        <is>
          <t>1. Không đạt ngưỡng FPS trung bình.
2. Camera online cập nhật 59.2%, thấp hơn ngưỡng đề xuất 90%.
3. Console/MSE error cao.
4. Memory đạt nhưng không đủ để kết luận tổng thể PASS.
5. Kết luận tổng thể: FAIL - Liveview nhiều camera chưa ổn định để nghiệm thu performance.</t>
        </is>
      </c>
      <c r="J27" s="29" t="inlineStr">
        <is>
          <t>Performance/Acceptance</t>
        </is>
      </c>
      <c r="K27" s="35" t="inlineStr">
        <is>
          <t>FAIL</t>
        </is>
      </c>
      <c r="L27" s="29" t="inlineStr">
        <is>
          <t>Kết luận đánh giá cho bài đo hiện tại.</t>
        </is>
      </c>
    </row>
  </sheetData>
  <mergeCells count="13">
    <mergeCell ref="B4:F4"/>
    <mergeCell ref="A8:A9"/>
    <mergeCell ref="B7:F7"/>
    <mergeCell ref="B6:F6"/>
    <mergeCell ref="B2:F2"/>
    <mergeCell ref="A11:A27"/>
    <mergeCell ref="B3:F3"/>
    <mergeCell ref="B5:F5"/>
    <mergeCell ref="B1:F1"/>
    <mergeCell ref="C9:D9"/>
    <mergeCell ref="E9:F9"/>
    <mergeCell ref="E8:F8"/>
    <mergeCell ref="C8:D8"/>
  </mergeCells>
  <conditionalFormatting sqref="H1">
    <cfRule type="containsText" priority="1" operator="containsText" dxfId="2" text="Pass">
      <formula>NOT(ISERROR(SEARCH(("Pass"),(H1))))</formula>
    </cfRule>
    <cfRule type="containsText" priority="2" operator="containsText" dxfId="1" text="Fail">
      <formula>NOT(ISERROR(SEARCH(("Fail"),(H1))))</formula>
    </cfRule>
    <cfRule type="containsText" priority="3" operator="containsText" dxfId="0" text="Not run">
      <formula>NOT(ISERROR(SEARCH(("Not run"),(H1))))</formula>
    </cfRule>
  </conditionalFormatting>
  <hyperlinks>
    <hyperlink xmlns:r="http://schemas.openxmlformats.org/officeDocument/2006/relationships" ref="B3"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111"/>
  <sheetViews>
    <sheetView workbookViewId="0">
      <selection activeCell="L2" sqref="J2:L2"/>
    </sheetView>
  </sheetViews>
  <sheetFormatPr baseColWidth="8" defaultRowHeight="13.2"/>
  <cols>
    <col width="36.44140625" customWidth="1" min="1" max="1"/>
    <col width="23.109375" customWidth="1" min="2" max="2"/>
    <col width="26" customWidth="1" min="3" max="3"/>
    <col width="38.5546875" customWidth="1" min="4" max="4"/>
    <col width="29.33203125" customWidth="1" min="5" max="5"/>
    <col width="32.109375" customWidth="1" min="6" max="6"/>
    <col width="24.6640625" customWidth="1" min="7" max="7"/>
    <col width="32.5546875" customWidth="1" min="8" max="8"/>
    <col width="42.88671875" customWidth="1" min="9" max="9"/>
    <col width="49.6640625" customWidth="1" style="12" min="10" max="10"/>
    <col width="29.44140625" customWidth="1" min="12" max="12"/>
    <col width="30.109375" customWidth="1" min="13" max="13"/>
    <col width="9.109375" customWidth="1" style="5" min="14" max="14"/>
  </cols>
  <sheetData>
    <row r="1" ht="67.2" customHeight="1">
      <c r="A1" s="13" t="inlineStr">
        <is>
          <t>Tên dự án (Project's Name):</t>
        </is>
      </c>
      <c r="B1" s="100" t="inlineStr">
        <is>
          <t>Hệ thống camera VMS</t>
        </is>
      </c>
      <c r="C1" s="101" t="n"/>
      <c r="D1" s="101" t="n"/>
      <c r="E1" s="101" t="n"/>
      <c r="F1" s="41" t="n"/>
      <c r="I1" s="23" t="inlineStr">
        <is>
          <t>Version</t>
        </is>
      </c>
      <c r="J1" s="23" t="inlineStr">
        <is>
          <t>Ngày</t>
        </is>
      </c>
      <c r="K1" s="23" t="inlineStr">
        <is>
          <t>Tên người chỉnh sửa</t>
        </is>
      </c>
      <c r="L1" s="23" t="inlineStr">
        <is>
          <t>Nội dung chỉnh sửa</t>
        </is>
      </c>
    </row>
    <row r="2" ht="55.2" customHeight="1">
      <c r="A2" s="14" t="inlineStr">
        <is>
          <t>Tên module (Module's Name):</t>
        </is>
      </c>
      <c r="B2" s="100" t="inlineStr">
        <is>
          <t>Smart Search</t>
        </is>
      </c>
      <c r="C2" s="101" t="n"/>
      <c r="D2" s="101" t="n"/>
      <c r="E2" s="101" t="n"/>
      <c r="F2" s="41" t="n"/>
      <c r="I2" s="36" t="inlineStr">
        <is>
          <t>v2.7.0</t>
        </is>
      </c>
      <c r="J2" s="24" t="n">
        <v>46183</v>
      </c>
      <c r="K2" s="11" t="inlineStr">
        <is>
          <t>Nguyễn Thị Minh Tâm</t>
        </is>
      </c>
      <c r="L2" s="10" t="inlineStr">
        <is>
          <t>Khởi tạo và test tìm kiếm theo metadata</t>
        </is>
      </c>
    </row>
    <row r="3" ht="16.8" customHeight="1">
      <c r="A3" s="15" t="inlineStr">
        <is>
          <t>Tài liệu (Reference Document):</t>
        </is>
      </c>
      <c r="B3" s="102" t="inlineStr">
        <is>
          <t>Document</t>
        </is>
      </c>
      <c r="C3" s="101" t="n"/>
      <c r="D3" s="101" t="n"/>
      <c r="E3" s="101" t="n"/>
      <c r="F3" s="41" t="n"/>
      <c r="I3" s="36" t="n"/>
      <c r="J3" s="24" t="n"/>
      <c r="K3" s="11" t="n"/>
      <c r="L3" s="10" t="n"/>
    </row>
    <row r="4" ht="16.8" customHeight="1">
      <c r="A4" s="16" t="inlineStr">
        <is>
          <t>Người tạo (Author):</t>
        </is>
      </c>
      <c r="B4" s="21" t="inlineStr">
        <is>
          <t>Hoàng Hồng Vân, Nguyễn Thị Minh Tâm</t>
        </is>
      </c>
      <c r="C4" s="101" t="n"/>
      <c r="D4" s="101" t="n"/>
      <c r="E4" s="101" t="n"/>
      <c r="F4" s="41" t="n"/>
      <c r="K4" s="27" t="n"/>
    </row>
    <row r="5" ht="16.8" customHeight="1">
      <c r="A5" s="15" t="inlineStr">
        <is>
          <t>Ngày tạo (Creation Date):</t>
        </is>
      </c>
      <c r="B5" s="103" t="n">
        <v>46090</v>
      </c>
      <c r="C5" s="101" t="n"/>
      <c r="D5" s="101" t="n"/>
      <c r="E5" s="101" t="n"/>
      <c r="F5" s="41" t="n"/>
      <c r="K5" s="27" t="n"/>
    </row>
    <row r="6" ht="16.8" customHeight="1">
      <c r="A6" s="17" t="inlineStr">
        <is>
          <t>Người review (Reviewer):</t>
        </is>
      </c>
      <c r="B6" s="21" t="n"/>
      <c r="C6" s="101" t="n"/>
      <c r="D6" s="101" t="n"/>
      <c r="E6" s="101" t="n"/>
      <c r="F6" s="41" t="n"/>
      <c r="K6" s="27" t="n"/>
    </row>
    <row r="7" ht="16.8" customHeight="1">
      <c r="A7" s="17" t="inlineStr">
        <is>
          <t>Phiên bản (Version):</t>
        </is>
      </c>
      <c r="B7" s="104" t="inlineStr">
        <is>
          <t>v2.7.0-Dev</t>
        </is>
      </c>
      <c r="C7" s="105" t="n"/>
      <c r="D7" s="105" t="n"/>
      <c r="E7" s="105" t="n"/>
      <c r="F7" s="106" t="n"/>
      <c r="K7" s="27" t="n"/>
    </row>
    <row r="8" ht="33.6" customHeight="1">
      <c r="A8" s="95" t="inlineStr">
        <is>
          <t>Kết quả (Results):</t>
        </is>
      </c>
      <c r="B8" s="21" t="inlineStr">
        <is>
          <t>Tổng số case
 (Total)</t>
        </is>
      </c>
      <c r="C8" s="107" t="inlineStr">
        <is>
          <t>Pass</t>
        </is>
      </c>
      <c r="D8" s="41" t="n"/>
      <c r="E8" s="108" t="inlineStr">
        <is>
          <t>Fail</t>
        </is>
      </c>
      <c r="F8" s="41" t="n"/>
      <c r="K8" s="27" t="n"/>
    </row>
    <row r="9" ht="16.8" customHeight="1">
      <c r="A9" s="109" t="n"/>
      <c r="B9" s="21">
        <f>SUM(C9+ E9)</f>
        <v/>
      </c>
      <c r="C9" s="21">
        <f>COUNTIF(K:K,"Pass")</f>
        <v/>
      </c>
      <c r="D9" s="41" t="n"/>
      <c r="E9" s="21">
        <f>COUNTIF(K:K,"Fail")</f>
        <v/>
      </c>
      <c r="F9" s="41" t="n"/>
      <c r="K9" s="27" t="n"/>
    </row>
    <row r="10">
      <c r="K10" s="27" t="n"/>
    </row>
    <row r="11" ht="55.2" customHeight="1">
      <c r="A11" s="38" t="inlineStr">
        <is>
          <t>Test Scenario ID
(ID Kịch bản kiểm thử)</t>
        </is>
      </c>
      <c r="B11" s="39" t="inlineStr">
        <is>
          <t>Test Scenario Description
(Mô tả kịch bản kiểm thử)</t>
        </is>
      </c>
      <c r="C11" s="39" t="inlineStr">
        <is>
          <t>Test Case ID
(ID trường hợp kiểm thử)</t>
        </is>
      </c>
      <c r="D11" s="39" t="inlineStr">
        <is>
          <t>Test Case Description
(Mô tả trường hợp kiểm thử)</t>
        </is>
      </c>
      <c r="E11" s="39" t="inlineStr">
        <is>
          <t>Pre-Conditions
(Điều kiện tiên quyết)</t>
        </is>
      </c>
      <c r="F11" s="39" t="inlineStr">
        <is>
          <t>Test Step
(Các bước thực hiện)</t>
        </is>
      </c>
      <c r="G11" s="39" t="inlineStr">
        <is>
          <t>Test Data
(Dữ liệu kiểm thử)</t>
        </is>
      </c>
      <c r="H11" s="39" t="inlineStr">
        <is>
          <t>Expected Response
(Kết quả mong đợi)</t>
        </is>
      </c>
      <c r="I11" s="39" t="inlineStr">
        <is>
          <t>Actual Response
(Kết quả thực tế)</t>
        </is>
      </c>
      <c r="J11" s="40" t="inlineStr">
        <is>
          <t>Dev note</t>
        </is>
      </c>
      <c r="K11" s="39" t="inlineStr">
        <is>
          <t>Status
(Trạng thái)</t>
        </is>
      </c>
      <c r="L11" s="20" t="inlineStr">
        <is>
          <t>Tester</t>
        </is>
      </c>
      <c r="M11" s="20" t="inlineStr">
        <is>
          <t>Note BA</t>
        </is>
      </c>
    </row>
    <row r="12" ht="82.8" customHeight="1">
      <c r="A12" s="42" t="inlineStr">
        <is>
          <t>SS-SC-01</t>
        </is>
      </c>
      <c r="B12" s="42" t="inlineStr">
        <is>
          <t>Thanh search &amp; trạng thái giao diện</t>
        </is>
      </c>
      <c r="C12" s="42" t="inlineStr">
        <is>
          <t>SS-TC-001</t>
        </is>
      </c>
      <c r="D12" s="42" t="inlineStr">
        <is>
          <t>Màn hình mặc định hiển thị đúng</t>
        </is>
      </c>
      <c r="E12" s="42" t="inlineStr">
        <is>
          <t>Đăng nhập VMS (becamex). Mở trang Tìm kiếm thông minh.</t>
        </is>
      </c>
      <c r="F12" s="42" t="inlineStr">
        <is>
          <t>1. Truy cập http://100.112.252.45:8004/video-analytic/smart-search?search_mode=precision&amp;time_preset=7d
2. Quan sát màn hình.</t>
        </is>
      </c>
      <c r="G12" s="42" t="inlineStr">
        <is>
          <t>search_mode=precision, time_preset=7d</t>
        </is>
      </c>
      <c r="H12" s="42" t="inlineStr">
        <is>
          <t>Hiển thị tiêu đề "Tìm kiếm thông minh", ô nhập mô tả, các nút Precision / 7 ngày gần nhất / Cả ngày / Tìm kiếm.</t>
        </is>
      </c>
      <c r="I12" s="46" t="inlineStr">
        <is>
          <t>Hiển thị đầy đủ: placeholder "Ví dụ: xe ô tô màu đỏ biển số 51M-888.55", Precision, 7 ngày gần nhất, Cả ngày, Tìm kiếm.</t>
        </is>
      </c>
      <c r="J12" s="7" t="n"/>
      <c r="K12" s="47" t="inlineStr">
        <is>
          <t>PASS</t>
        </is>
      </c>
      <c r="L12" s="41" t="n"/>
    </row>
    <row r="13" ht="126" customHeight="1">
      <c r="A13" s="42" t="inlineStr">
        <is>
          <t>SS-SC-01</t>
        </is>
      </c>
      <c r="B13" s="42" t="inlineStr">
        <is>
          <t>Thanh search &amp; trạng thái giao diện</t>
        </is>
      </c>
      <c r="C13" s="42" t="inlineStr">
        <is>
          <t>SS-TC-002</t>
        </is>
      </c>
      <c r="D13" s="42" t="inlineStr">
        <is>
          <t>Text truy vấn được giữ lại trên thanh search sau khi tìm</t>
        </is>
      </c>
      <c r="E13" s="42" t="inlineStr">
        <is>
          <t>Đăng nhập VMS (becamex). Mở trang Tìm kiếm thông minh.</t>
        </is>
      </c>
      <c r="F13" s="42" t="inlineStr">
        <is>
          <t>1. Nhập "xe ô tô màu trắng".
2. Click Tìm kiếm.
3. Quan sát thanh search ở màn kết quả.</t>
        </is>
      </c>
      <c r="G13" s="42" t="inlineStr">
        <is>
          <t>xe ô tô màu trắng</t>
        </is>
      </c>
      <c r="H13" s="42" t="inlineStr">
        <is>
          <t>Thanh search vẫn hiển thị nguyên văn câu truy vấn; có chip lịch sử truy vấn.</t>
        </is>
      </c>
      <c r="I13" s="46" t="inlineStr">
        <is>
          <t>Thanh search giữ "xe ô tô màu trắng"; chip lịch sử "xe ô tô màu trắng ×" hiển thị bên dưới.</t>
        </is>
      </c>
      <c r="J13" s="7" t="n"/>
      <c r="K13" s="47" t="inlineStr">
        <is>
          <t>PASS</t>
        </is>
      </c>
      <c r="L13" s="41" t="n"/>
    </row>
    <row r="14" ht="41.4" customHeight="1">
      <c r="A14" s="42" t="inlineStr">
        <is>
          <t>SS-SC-01</t>
        </is>
      </c>
      <c r="B14" s="42" t="inlineStr">
        <is>
          <t>Thanh search &amp; trạng thái giao diện</t>
        </is>
      </c>
      <c r="C14" s="42" t="inlineStr">
        <is>
          <t>SS-TC-003</t>
        </is>
      </c>
      <c r="D14" s="42" t="inlineStr">
        <is>
          <t>Không có kết quả → giữ màn kết quả + thông báo rỗng</t>
        </is>
      </c>
      <c r="E14" s="42" t="inlineStr">
        <is>
          <t>Đăng nhập VMS (becamex). Mở trang Tìm kiếm thông minh.</t>
        </is>
      </c>
      <c r="F14" s="42" t="inlineStr">
        <is>
          <t>1. Chọn Precision, 7 ngày.
2. Tìm "xe ô tô màu trắng".</t>
        </is>
      </c>
      <c r="G14" s="42" t="inlineStr">
        <is>
          <t>API trả total=0</t>
        </is>
      </c>
      <c r="H14" s="42" t="inlineStr">
        <is>
          <t>Vẫn ở layout kết quả, hiển thị "Kết quả 0 đoạn video" + empty state rõ ràng, không nhảy về màn hình default.</t>
        </is>
      </c>
      <c r="I14" s="46" t="inlineStr">
        <is>
          <t>Giữ layout kết quả, hiển thị "Không tìm thấy đoạn video nào khớp với truy vấn" + gợi ý "Thử chế độ Balanced".</t>
        </is>
      </c>
      <c r="J14" s="7" t="n"/>
      <c r="K14" s="47" t="inlineStr">
        <is>
          <t>PASS</t>
        </is>
      </c>
      <c r="L14" s="41" t="n"/>
    </row>
    <row r="15" ht="55.2" customHeight="1">
      <c r="A15" s="42" t="inlineStr">
        <is>
          <t>SS-SC-01</t>
        </is>
      </c>
      <c r="B15" s="42" t="inlineStr">
        <is>
          <t>Thanh search &amp; trạng thái giao diện</t>
        </is>
      </c>
      <c r="C15" s="42" t="inlineStr">
        <is>
          <t>SS-TC-004</t>
        </is>
      </c>
      <c r="D15" s="42" t="inlineStr">
        <is>
          <t>Khi API lỗi (422/502) giao diện không nhảy về màn hình default</t>
        </is>
      </c>
      <c r="E15" s="42" t="inlineStr">
        <is>
          <t>Đăng nhập VMS (becamex). Mở trang Tìm kiếm thông minh.</t>
        </is>
      </c>
      <c r="F15" s="42" t="inlineStr">
        <is>
          <t>1. Precision, 30 ngày: tìm "xe máy thứ tư" (API 422).
2. Balanced: tìm "xe máy" (API 502).
3. Quan sát giao diện.</t>
        </is>
      </c>
      <c r="G15" s="42" t="inlineStr">
        <is>
          <t>xe máy thứ tư / Balanced "xe máy"</t>
        </is>
      </c>
      <c r="H15" s="42" t="inlineStr">
        <is>
          <t>Giữ layout kết quả, hiển thị empty/error state trong vùng kết quả với thông báo dễ hiểu.</t>
        </is>
      </c>
      <c r="I15" s="46" t="inlineStr">
        <is>
          <t>[Retest 21/10/2026 – build 2.8.0] Khi API trả về lỗi 422, giao diện hiển thị toast lỗi và giữ nguyên form nhập liệu, không tự động reload hay nhảy về màn default hero.</t>
        </is>
      </c>
      <c r="J15" s="7" t="n"/>
      <c r="K15" s="48" t="inlineStr">
        <is>
          <t>PASS</t>
        </is>
      </c>
      <c r="L15" s="41" t="n"/>
      <c r="N15" t="inlineStr">
        <is>
          <t>21/10/2026</t>
        </is>
      </c>
    </row>
    <row r="16" ht="69" customHeight="1">
      <c r="A16" s="42" t="inlineStr">
        <is>
          <t>SS-SC-01</t>
        </is>
      </c>
      <c r="B16" s="42" t="inlineStr">
        <is>
          <t>Thanh search &amp; trạng thái giao diện</t>
        </is>
      </c>
      <c r="C16" s="42" t="inlineStr">
        <is>
          <t>SS-TC-005</t>
        </is>
      </c>
      <c r="D16" s="42" t="inlineStr">
        <is>
          <t>Thông báo lỗi hiển thị tiếng Việt</t>
        </is>
      </c>
      <c r="E16" s="42" t="inlineStr">
        <is>
          <t>Đăng nhập VMS (becamex). Mở trang Tìm kiếm thông minh.</t>
        </is>
      </c>
      <c r="F16" s="42" t="inlineStr">
        <is>
          <t>1. Ngôn ngữ UI = Tiếng Việt.
2. Tìm "xe máy thứ tư".</t>
        </is>
      </c>
      <c r="G16" s="42" t="inlineStr">
        <is>
          <t>API 422</t>
        </is>
      </c>
      <c r="H16" s="42" t="inlineStr">
        <is>
          <t>Toast/Empty state hiển thị tiếng Việt, ví dụ "Không xác định được ngày trong câu truy vấn".</t>
        </is>
      </c>
      <c r="I16" s="46" t="inlineStr">
        <is>
          <t>[Retest 21/10/2026 – build 2.8.0] Toast hiển thị tiếng Việt theo ngôn ngữ giao diện hệ thống.</t>
        </is>
      </c>
      <c r="J16" s="7" t="n"/>
      <c r="K16" s="48" t="inlineStr">
        <is>
          <t>PASS</t>
        </is>
      </c>
      <c r="L16" s="41" t="n"/>
      <c r="N16" t="inlineStr">
        <is>
          <t>21/10/2026</t>
        </is>
      </c>
    </row>
    <row r="17" ht="55.2" customHeight="1">
      <c r="A17" s="42" t="inlineStr">
        <is>
          <t>SS-SC-01</t>
        </is>
      </c>
      <c r="B17" s="42" t="inlineStr">
        <is>
          <t>Thanh search &amp; trạng thái giao diện</t>
        </is>
      </c>
      <c r="C17" s="42" t="inlineStr">
        <is>
          <t>SS-TC-006</t>
        </is>
      </c>
      <c r="D17" s="42" t="inlineStr">
        <is>
          <t>Thanh search ở màn kết quả gọn trên 1 dòng</t>
        </is>
      </c>
      <c r="E17" s="42" t="inlineStr">
        <is>
          <t>Đăng nhập VMS (becamex). Mở trang Tìm kiếm thông minh.</t>
        </is>
      </c>
      <c r="F17" s="42" t="inlineStr">
        <is>
          <t>1. Thực hiện tìm kiếm bất kỳ.
2. Quan sát khu vực search.</t>
        </is>
      </c>
      <c r="G17" s="42" t="inlineStr">
        <is>
          <t>xe máy</t>
        </is>
      </c>
      <c r="H17" s="42" t="inlineStr">
        <is>
          <t>Ô nhập + Mode + Ngày + Khung giờ + Reset + Thu gọn + Tìm kiếm nằm trên 1 hàng, không chiếm nhiều diện tích.</t>
        </is>
      </c>
      <c r="I17" s="46" t="inlineStr">
        <is>
          <t>Đã gọn: 1 hàng cao ~45px (y=58–104) + 1 hàng chip lịch sử &amp; bộ đếm 1/10, 0/20. Có nút thu gọn (^).</t>
        </is>
      </c>
      <c r="J17" s="7" t="n"/>
      <c r="K17" s="47" t="inlineStr">
        <is>
          <t>PASS</t>
        </is>
      </c>
      <c r="L17" s="41" t="n"/>
    </row>
    <row r="18" ht="69" customHeight="1">
      <c r="A18" s="42" t="inlineStr">
        <is>
          <t>SS-SC-02</t>
        </is>
      </c>
      <c r="B18" s="42" t="inlineStr">
        <is>
          <t>Chế độ truy vấn</t>
        </is>
      </c>
      <c r="C18" s="42" t="inlineStr">
        <is>
          <t>SS-TC-007</t>
        </is>
      </c>
      <c r="D18" s="42" t="inlineStr">
        <is>
          <t>Dropdown mode hiển thị tên tiếng Anh</t>
        </is>
      </c>
      <c r="E18" s="42" t="inlineStr">
        <is>
          <t>Đăng nhập VMS (becamex). Mở trang Tìm kiếm thông minh.</t>
        </is>
      </c>
      <c r="F18" s="42" t="inlineStr">
        <is>
          <t>1. Click dropdown mode.
2. Quan sát danh sách.</t>
        </is>
      </c>
      <c r="G18" s="43" t="inlineStr">
        <is>
          <t>-</t>
        </is>
      </c>
      <c r="H18" s="42" t="inlineStr">
        <is>
          <t>Tên mode tiếng Anh: Precision / Balanced / Coverage.</t>
        </is>
      </c>
      <c r="I18" s="46" t="inlineStr">
        <is>
          <t>Hiển thị "Precision (Chính xác)", "Balanced (Cân bằng)", "Coverage (Nhiều kết quả)" kèm mô tả. Nút đã chọn hiển thị "Precision". Lưu ý: vẫn còn phần tiếng Việt trong ngoặc – cần PO xác nhận có giữ không.</t>
        </is>
      </c>
      <c r="J18" s="7" t="n"/>
      <c r="K18" s="47" t="inlineStr">
        <is>
          <t>PASS</t>
        </is>
      </c>
      <c r="L18" s="41" t="n"/>
    </row>
    <row r="19" ht="55.2" customHeight="1">
      <c r="A19" s="42" t="inlineStr">
        <is>
          <t>SS-SC-02</t>
        </is>
      </c>
      <c r="B19" s="42" t="inlineStr">
        <is>
          <t>Chế độ truy vấn</t>
        </is>
      </c>
      <c r="C19" s="42" t="inlineStr">
        <is>
          <t>SS-TC-008</t>
        </is>
      </c>
      <c r="D19" s="42" t="inlineStr">
        <is>
          <t>Balanced mode trả kết quả (metadata + vector)</t>
        </is>
      </c>
      <c r="E19" s="42" t="inlineStr">
        <is>
          <t>Đăng nhập VMS (becamex). Mở trang Tìm kiếm thông minh.</t>
        </is>
      </c>
      <c r="F19" s="42" t="inlineStr">
        <is>
          <t>1. Chọn Balanced, 30 ngày.
2. Tìm "xe máy".</t>
        </is>
      </c>
      <c r="G19" s="42" t="inlineStr">
        <is>
          <t>search_mode=balanced</t>
        </is>
      </c>
      <c r="H19" s="42" t="inlineStr">
        <is>
          <t>API 200, có kết quả, score_breakdown.vector có giá trị.</t>
        </is>
      </c>
      <c r="I19" s="46" t="inlineStr">
        <is>
          <t>[Retest 21/10/2026 – build 2.8.0] Chế độ tìm kiếm Balanced mode hoạt động ổn định, trả về HTTP 200, embedding service đã được dev fix, không còn bị 502.</t>
        </is>
      </c>
      <c r="J19" s="7" t="inlineStr">
        <is>
          <t>Check BE</t>
        </is>
      </c>
      <c r="K19" s="48" t="inlineStr">
        <is>
          <t>PASS</t>
        </is>
      </c>
      <c r="L19" s="41" t="n"/>
      <c r="N19" t="inlineStr">
        <is>
          <t>21/10/2026</t>
        </is>
      </c>
    </row>
    <row r="20" ht="27.6" customHeight="1">
      <c r="A20" s="42" t="inlineStr">
        <is>
          <t>SS-SC-02</t>
        </is>
      </c>
      <c r="B20" s="42" t="inlineStr">
        <is>
          <t>Chế độ truy vấn</t>
        </is>
      </c>
      <c r="C20" s="42" t="inlineStr">
        <is>
          <t>SS-TC-009</t>
        </is>
      </c>
      <c r="D20" s="42" t="inlineStr">
        <is>
          <t>Coverage mode trả kết quả khớp ngữ nghĩa</t>
        </is>
      </c>
      <c r="E20" s="42" t="inlineStr">
        <is>
          <t>Đăng nhập VMS (becamex). Mở trang Tìm kiếm thông minh.</t>
        </is>
      </c>
      <c r="F20" s="42" t="inlineStr">
        <is>
          <t>1. Chọn Coverage, 30 ngày.
2. Tìm "xe máy", "người".</t>
        </is>
      </c>
      <c r="G20" s="42" t="inlineStr">
        <is>
          <t>search_mode=coverage</t>
        </is>
      </c>
      <c r="H20" s="42" t="inlineStr">
        <is>
          <t>API 200, có kết quả khớp ngữ nghĩa.</t>
        </is>
      </c>
      <c r="I20" s="46" t="inlineStr">
        <is>
          <t>[Retest 21/10/2026 – build 2.8.0] Chế độ tìm kiếm Coverage mode hoạt động ổn định, trả về HTTP 200 kết quả phù hợp, không còn bị lỗi 502.</t>
        </is>
      </c>
      <c r="J20" s="7" t="inlineStr">
        <is>
          <t>Check BE</t>
        </is>
      </c>
      <c r="K20" s="48" t="inlineStr">
        <is>
          <t>PASS</t>
        </is>
      </c>
      <c r="L20" s="41" t="n"/>
      <c r="N20" t="inlineStr">
        <is>
          <t>21/10/2026</t>
        </is>
      </c>
    </row>
    <row r="21" ht="41.4" customHeight="1">
      <c r="A21" s="42" t="inlineStr">
        <is>
          <t>SS-SC-02</t>
        </is>
      </c>
      <c r="B21" s="42" t="inlineStr">
        <is>
          <t>Chế độ truy vấn</t>
        </is>
      </c>
      <c r="C21" s="42" t="inlineStr">
        <is>
          <t>SS-TC-010</t>
        </is>
      </c>
      <c r="D21" s="42" t="inlineStr">
        <is>
          <t>Precision mode trả kết quả theo metadata</t>
        </is>
      </c>
      <c r="E21" s="42" t="inlineStr">
        <is>
          <t>Đăng nhập VMS (becamex). Mở trang Tìm kiếm thông minh.</t>
        </is>
      </c>
      <c r="F21" s="42" t="inlineStr">
        <is>
          <t>1. Precision, 30 ngày.
2. Tìm "xe máy", "người", "xe ô tô", "xe tải".</t>
        </is>
      </c>
      <c r="G21" s="42" t="inlineStr">
        <is>
          <t>4 truy vấn</t>
        </is>
      </c>
      <c r="H21" s="42" t="inlineStr">
        <is>
          <t>API 200, có kết quả; interpretation.search_basis = metadata.</t>
        </is>
      </c>
      <c r="I21" s="46" t="inlineStr">
        <is>
          <t>Cả 4 truy vấn: 200 kết quả; parser=gemini; yoloe_classes lần lượt motorbike/person/car/truck.</t>
        </is>
      </c>
      <c r="J21" s="7" t="n"/>
      <c r="K21" s="47" t="inlineStr">
        <is>
          <t>PASS</t>
        </is>
      </c>
      <c r="L21" s="41" t="n"/>
    </row>
    <row r="22" ht="82.8" customHeight="1">
      <c r="A22" s="42" t="inlineStr">
        <is>
          <t>SS-SC-02</t>
        </is>
      </c>
      <c r="B22" s="42" t="inlineStr">
        <is>
          <t>Chế độ truy vấn</t>
        </is>
      </c>
      <c r="C22" s="42" t="inlineStr">
        <is>
          <t>SS-TC-011</t>
        </is>
      </c>
      <c r="D22" s="42" t="inlineStr">
        <is>
          <t>Truy vấn kèm màu sắc trả kết quả nhất quán với truy vấn chỉ có loại xe</t>
        </is>
      </c>
      <c r="E22" s="42" t="inlineStr">
        <is>
          <t>Đăng nhập VMS (becamex). Mở trang Tìm kiếm thông minh.</t>
        </is>
      </c>
      <c r="F22" s="42" t="inlineStr">
        <is>
          <t>1. Precision, 30 ngày.
2. Tìm "xe ô tô" → ghi nhận.
3. Tìm "xe ô tô màu trắng".</t>
        </is>
      </c>
      <c r="G22" s="42" t="inlineStr">
        <is>
          <t>xe ô tô / xe ô tô màu trắng</t>
        </is>
      </c>
      <c r="H22" s="42" t="inlineStr">
        <is>
          <t>"xe ô tô màu trắng" trả tập con của "xe ô tô" gồm các xe màu trắng (nhiều mô tả có "xe màu trắng").</t>
        </is>
      </c>
      <c r="I22" s="46" t="inlineStr">
        <is>
          <t>"xe ô tô" → yoloe_classes=[car], 200 kết quả. "xe ô tô màu trắng" → object_filter {vehicle, car, white}, yoloe_classes=[] → 0 kết quả (cả 7 và 30 ngày), dù nhiều đoạn có mô tả "xe màu trắng". Nghi màu chỉ lọc trên object biển số → cần dev kiểm tra.</t>
        </is>
      </c>
      <c r="J22" s="7" t="inlineStr">
        <is>
          <t>Chưa develop model màu xe (hiện tại trên bảng develop chỉ là mock)</t>
        </is>
      </c>
      <c r="K22" s="49" t="inlineStr">
        <is>
          <t>OPEN</t>
        </is>
      </c>
      <c r="L22" s="41" t="n"/>
    </row>
    <row r="23" ht="41.4" customHeight="1">
      <c r="A23" s="42" t="inlineStr">
        <is>
          <t>SS-SC-03</t>
        </is>
      </c>
      <c r="B23" s="42" t="inlineStr">
        <is>
          <t>Bộ lọc thời gian (date-to-date + khung giờ riêng)</t>
        </is>
      </c>
      <c r="C23" s="42" t="inlineStr">
        <is>
          <t>SS-TC-012</t>
        </is>
      </c>
      <c r="D23" s="42" t="inlineStr">
        <is>
          <t>Bộ lọc ngày có chọn nhanh và tuỳ chọn Từ–Đến</t>
        </is>
      </c>
      <c r="E23" s="42" t="inlineStr">
        <is>
          <t>Đăng nhập VMS (becamex). Mở trang Tìm kiếm thông minh.</t>
        </is>
      </c>
      <c r="F23" s="42" t="inlineStr">
        <is>
          <t>1. Click nút ngày.
2. Quan sát popover.</t>
        </is>
      </c>
      <c r="G23" s="43" t="inlineStr">
        <is>
          <t>-</t>
        </is>
      </c>
      <c r="H23" s="42" t="inlineStr">
        <is>
          <t>Có chọn nhanh (Hôm nay, 3/7/14/30 ngày) và Từ/Đến + Áp dụng.</t>
        </is>
      </c>
      <c r="I23" s="46" t="inlineStr">
        <is>
          <t>Đúng: CHỌN NHANH (Hôm nay, 3, 7, 14, 30 ngày gần nhất), TUỲ CHỌN Từ/Đến, "Khoảng tối đa 30 ngày", Áp dụng.</t>
        </is>
      </c>
      <c r="J23" s="7" t="n"/>
      <c r="K23" s="47" t="inlineStr">
        <is>
          <t>PASS</t>
        </is>
      </c>
      <c r="L23" s="41" t="n"/>
    </row>
    <row r="24" ht="41.4" customHeight="1">
      <c r="A24" s="42" t="inlineStr">
        <is>
          <t>SS-SC-03</t>
        </is>
      </c>
      <c r="B24" s="42" t="inlineStr">
        <is>
          <t>Bộ lọc thời gian (date-to-date + khung giờ riêng)</t>
        </is>
      </c>
      <c r="C24" s="42" t="inlineStr">
        <is>
          <t>SS-TC-013</t>
        </is>
      </c>
      <c r="D24" s="42" t="inlineStr">
        <is>
          <t>Chọn nhanh "Hôm nay" gửi đúng khoảng thời gian</t>
        </is>
      </c>
      <c r="E24" s="42" t="inlineStr">
        <is>
          <t>Đăng nhập VMS (becamex). Mở trang Tìm kiếm thông minh.</t>
        </is>
      </c>
      <c r="F24" s="42" t="inlineStr">
        <is>
          <t>1. Chọn Hôm nay.
2. Tìm "xe máy".</t>
        </is>
      </c>
      <c r="G24" s="42" t="inlineStr">
        <is>
          <t>time_preset=today</t>
        </is>
      </c>
      <c r="H24" s="42" t="inlineStr">
        <is>
          <t>start_time = 00:00 hôm nay (GMT+7), end_time = 23:59:59.999.</t>
        </is>
      </c>
      <c r="I24" s="46" t="inlineStr">
        <is>
          <t>start_time 2026-09-27T17:00:00Z, end_time 2026-09-28T16:59:59.999Z (= 28/09 00:00–23:59 GMT+7). URL time_preset=today.</t>
        </is>
      </c>
      <c r="J24" s="7" t="n"/>
      <c r="K24" s="47" t="inlineStr">
        <is>
          <t>PASS</t>
        </is>
      </c>
      <c r="L24" s="41" t="n"/>
    </row>
    <row r="25" ht="69" customHeight="1">
      <c r="A25" s="42" t="inlineStr">
        <is>
          <t>SS-SC-03</t>
        </is>
      </c>
      <c r="B25" s="42" t="inlineStr">
        <is>
          <t>Bộ lọc thời gian (date-to-date + khung giờ riêng)</t>
        </is>
      </c>
      <c r="C25" s="42" t="inlineStr">
        <is>
          <t>SS-TC-014</t>
        </is>
      </c>
      <c r="D25" s="42" t="inlineStr">
        <is>
          <t>Tuỳ chọn Từ–Đến áp dụng đúng</t>
        </is>
      </c>
      <c r="E25" s="42" t="inlineStr">
        <is>
          <t>Đăng nhập VMS (becamex). Mở trang Tìm kiếm thông minh.</t>
        </is>
      </c>
      <c r="F25" s="42" t="inlineStr">
        <is>
          <t>1. Từ 22/09/2026, Đến 25/09/2026.
2. Áp dụng.
3. Tìm "xe ô tô".</t>
        </is>
      </c>
      <c r="G25" s="42" t="inlineStr">
        <is>
          <t>22/09–25/09/2026</t>
        </is>
      </c>
      <c r="H25" s="42" t="inlineStr">
        <is>
          <t>Nút ngày hiển thị "22/09/2026 – 25/09/2026", request đúng khoảng, URL lưu start_date/end_date.</t>
        </is>
      </c>
      <c r="I25" s="46" t="inlineStr">
        <is>
          <t>Nút hiển thị "22/09/2026 – 25/09/2026"; request 2026-09-21T17:00Z → 2026-09-25T16:59:59.999Z; URL time_preset=custom&amp;start_date=2026-09-22&amp;end_date=2026-09-25.</t>
        </is>
      </c>
      <c r="J25" s="7" t="n"/>
      <c r="K25" s="47" t="inlineStr">
        <is>
          <t>PASS</t>
        </is>
      </c>
      <c r="L25" s="41" t="n"/>
    </row>
    <row r="26" ht="27.6" customHeight="1">
      <c r="A26" s="42" t="inlineStr">
        <is>
          <t>SS-SC-03</t>
        </is>
      </c>
      <c r="B26" s="42" t="inlineStr">
        <is>
          <t>Bộ lọc thời gian (date-to-date + khung giờ riêng)</t>
        </is>
      </c>
      <c r="C26" s="42" t="inlineStr">
        <is>
          <t>SS-TC-015</t>
        </is>
      </c>
      <c r="D26" s="42" t="inlineStr">
        <is>
          <t>Chặn khoảng ngày &gt; 30 ngày</t>
        </is>
      </c>
      <c r="E26" s="42" t="inlineStr">
        <is>
          <t>Đăng nhập VMS (becamex). Mở trang Tìm kiếm thông minh.</t>
        </is>
      </c>
      <c r="F26" s="42" t="inlineStr">
        <is>
          <t>1. Từ 01/08/2026, Đến 28/09/2026.</t>
        </is>
      </c>
      <c r="G26" s="42" t="inlineStr">
        <is>
          <t>59 ngày</t>
        </is>
      </c>
      <c r="H26" s="42" t="inlineStr">
        <is>
          <t>Không cho áp dụng, hiển thị cảnh báo tối đa 30 ngày.</t>
        </is>
      </c>
      <c r="I26" s="46" t="inlineStr">
        <is>
          <t>Nút Áp dụng bị disable, hiển thị "Khoảng tìm kiếm tối đa 30 ngày".</t>
        </is>
      </c>
      <c r="J26" s="7" t="n"/>
      <c r="K26" s="47" t="inlineStr">
        <is>
          <t>PASS</t>
        </is>
      </c>
      <c r="L26" s="41" t="n"/>
    </row>
    <row r="27" ht="55.2" customHeight="1">
      <c r="A27" s="42" t="inlineStr">
        <is>
          <t>SS-SC-03</t>
        </is>
      </c>
      <c r="B27" s="42" t="inlineStr">
        <is>
          <t>Bộ lọc thời gian (date-to-date + khung giờ riêng)</t>
        </is>
      </c>
      <c r="C27" s="42" t="inlineStr">
        <is>
          <t>SS-TC-016</t>
        </is>
      </c>
      <c r="D27" s="42" t="inlineStr">
        <is>
          <t>Khung giờ trong ngày (riêng) lọc đúng</t>
        </is>
      </c>
      <c r="E27" s="42" t="inlineStr">
        <is>
          <t>Đăng nhập VMS (becamex). Mở trang Tìm kiếm thông minh.</t>
        </is>
      </c>
      <c r="F27" s="42" t="inlineStr">
        <is>
          <t>1. Click "Cả ngày".
2. Từ giờ 13:00, Đến giờ 14:00.
3. Tìm "xe máy" (30 ngày).</t>
        </is>
      </c>
      <c r="G27" s="42" t="inlineStr">
        <is>
          <t>13:00–14:00</t>
        </is>
      </c>
      <c r="H27" s="42" t="inlineStr">
        <is>
          <t>Nút hiển thị "13:00 – 14:00"; request có time_of_day_start/end; 100% kết quả trong 13:00–14:00.</t>
        </is>
      </c>
      <c r="I27" s="46" t="inlineStr">
        <is>
          <t>Nút "13:00 – 14:00"; request time_of_day 13:00:00.000–14:00:00.000; 200 kết quả, 0 kết quả ngoài khung giờ. URL lưu time_of_day_start/end. Có nút "Bỏ khung giờ".</t>
        </is>
      </c>
      <c r="J27" s="7" t="n"/>
      <c r="K27" s="47" t="inlineStr">
        <is>
          <t>PASS</t>
        </is>
      </c>
      <c r="L27" s="41" t="n"/>
    </row>
    <row r="28" ht="69" customHeight="1">
      <c r="A28" s="42" t="inlineStr">
        <is>
          <t>SS-SC-04</t>
        </is>
      </c>
      <c r="B28" s="42" t="inlineStr">
        <is>
          <t>Truy vấn thời gian bằng ngôn ngữ tự nhiên</t>
        </is>
      </c>
      <c r="C28" s="42" t="inlineStr">
        <is>
          <t>SS-TC-017</t>
        </is>
      </c>
      <c r="D28" s="42" t="inlineStr">
        <is>
          <t>NL thời gian: "xe máy lúc 1h chiều"</t>
        </is>
      </c>
      <c r="E28" s="42" t="inlineStr">
        <is>
          <t>Đăng nhập VMS (becamex). Mở trang Tìm kiếm thông minh.</t>
        </is>
      </c>
      <c r="F28" s="42" t="inlineStr">
        <is>
          <t>1. Precision, 30 ngày gần nhất, Cả ngày.
2. Tìm "xe máy lúc 1h chiều".
3. Đối chiếu interpretation + thời gian từng kết quả (GMT+7).</t>
        </is>
      </c>
      <c r="G28" s="42" t="inlineStr">
        <is>
          <t>xe máy lúc 1h chiều</t>
        </is>
      </c>
      <c r="H28" s="42" t="inlineStr">
        <is>
          <t>Hệ thống hiểu đúng: time_of_day 13:00–14:00; mọi kết quả nằm trong mốc thời gian.</t>
        </is>
      </c>
      <c r="I28" s="46" t="inlineStr">
        <is>
          <t>time_of_day 13:00–14:00; 200 kết quả, 0 ngoài khung giờ.</t>
        </is>
      </c>
      <c r="J28" s="7" t="n"/>
      <c r="K28" s="47" t="inlineStr">
        <is>
          <t>PASS</t>
        </is>
      </c>
      <c r="L28" s="41" t="n"/>
    </row>
    <row r="29" ht="69" customHeight="1">
      <c r="A29" s="42" t="inlineStr">
        <is>
          <t>SS-SC-04</t>
        </is>
      </c>
      <c r="B29" s="42" t="inlineStr">
        <is>
          <t>Truy vấn thời gian bằng ngôn ngữ tự nhiên</t>
        </is>
      </c>
      <c r="C29" s="42" t="inlineStr">
        <is>
          <t>SS-TC-018</t>
        </is>
      </c>
      <c r="D29" s="42" t="inlineStr">
        <is>
          <t>NL thời gian: "xe máy lúc 13h"</t>
        </is>
      </c>
      <c r="E29" s="42" t="inlineStr">
        <is>
          <t>Đăng nhập VMS (becamex). Mở trang Tìm kiếm thông minh.</t>
        </is>
      </c>
      <c r="F29" s="42" t="inlineStr">
        <is>
          <t>1. Precision, 30 ngày gần nhất, Cả ngày.
2. Tìm "xe máy lúc 13h".
3. Đối chiếu interpretation + thời gian từng kết quả (GMT+7).</t>
        </is>
      </c>
      <c r="G29" s="42" t="inlineStr">
        <is>
          <t>xe máy lúc 13h</t>
        </is>
      </c>
      <c r="H29" s="42" t="inlineStr">
        <is>
          <t>Hệ thống hiểu đúng: time_of_day 13:00–14:00; mọi kết quả nằm trong mốc thời gian.</t>
        </is>
      </c>
      <c r="I29" s="46" t="inlineStr">
        <is>
          <t>time_of_day 13:00–14:00; 200 kết quả, 0 ngoài khung giờ.</t>
        </is>
      </c>
      <c r="J29" s="7" t="n"/>
      <c r="K29" s="47" t="inlineStr">
        <is>
          <t>PASS</t>
        </is>
      </c>
      <c r="L29" s="41" t="n"/>
    </row>
    <row r="30" ht="69" customHeight="1">
      <c r="A30" s="42" t="inlineStr">
        <is>
          <t>SS-SC-04</t>
        </is>
      </c>
      <c r="B30" s="42" t="inlineStr">
        <is>
          <t>Truy vấn thời gian bằng ngôn ngữ tự nhiên</t>
        </is>
      </c>
      <c r="C30" s="42" t="inlineStr">
        <is>
          <t>SS-TC-019</t>
        </is>
      </c>
      <c r="D30" s="42" t="inlineStr">
        <is>
          <t>NL thời gian: "xe ô tô từ 8h đến 10h sáng"</t>
        </is>
      </c>
      <c r="E30" s="42" t="inlineStr">
        <is>
          <t>Đăng nhập VMS (becamex). Mở trang Tìm kiếm thông minh.</t>
        </is>
      </c>
      <c r="F30" s="42" t="inlineStr">
        <is>
          <t>1. Precision, 30 ngày gần nhất, Cả ngày.
2. Tìm "xe ô tô từ 8h đến 10h sáng".
3. Đối chiếu interpretation + thời gian từng kết quả (GMT+7).</t>
        </is>
      </c>
      <c r="G30" s="42" t="inlineStr">
        <is>
          <t>xe ô tô từ 8h đến 10h sáng</t>
        </is>
      </c>
      <c r="H30" s="42" t="inlineStr">
        <is>
          <t>Hệ thống hiểu đúng: time_of_day 08:00–10:00; mọi kết quả nằm trong mốc thời gian.</t>
        </is>
      </c>
      <c r="I30" s="46" t="inlineStr">
        <is>
          <t>time_of_day 08:00–10:00; 200 kết quả, 0 ngoài khung giờ.</t>
        </is>
      </c>
      <c r="J30" s="7" t="n"/>
      <c r="K30" s="47" t="inlineStr">
        <is>
          <t>PASS</t>
        </is>
      </c>
      <c r="L30" s="41" t="n"/>
    </row>
    <row r="31" ht="69" customHeight="1">
      <c r="A31" s="42" t="inlineStr">
        <is>
          <t>SS-SC-04</t>
        </is>
      </c>
      <c r="B31" s="42" t="inlineStr">
        <is>
          <t>Truy vấn thời gian bằng ngôn ngữ tự nhiên</t>
        </is>
      </c>
      <c r="C31" s="42" t="inlineStr">
        <is>
          <t>SS-TC-020</t>
        </is>
      </c>
      <c r="D31" s="42" t="inlineStr">
        <is>
          <t>NL thời gian: "xe máy buổi sáng"</t>
        </is>
      </c>
      <c r="E31" s="42" t="inlineStr">
        <is>
          <t>Đăng nhập VMS (becamex). Mở trang Tìm kiếm thông minh.</t>
        </is>
      </c>
      <c r="F31" s="42" t="inlineStr">
        <is>
          <t>1. Precision, 30 ngày gần nhất, Cả ngày.
2. Tìm "xe máy buổi sáng".
3. Đối chiếu interpretation + thời gian từng kết quả (GMT+7).</t>
        </is>
      </c>
      <c r="G31" s="42" t="inlineStr">
        <is>
          <t>xe máy buổi sáng</t>
        </is>
      </c>
      <c r="H31" s="42" t="inlineStr">
        <is>
          <t>Hệ thống hiểu đúng: time_of_day ~05:00–12:00; mọi kết quả nằm trong mốc thời gian.</t>
        </is>
      </c>
      <c r="I31" s="46" t="inlineStr">
        <is>
          <t>Không parse: time_of_day = null → 133/200 kết quả ngoài buổi sáng.</t>
        </is>
      </c>
      <c r="J31" s="7" t="inlineStr">
        <is>
          <t xml:space="preserve">Cần confirm các case filter NL thời gian </t>
        </is>
      </c>
      <c r="K31" s="50" t="inlineStr">
        <is>
          <t>NEED CONFIRM</t>
        </is>
      </c>
      <c r="L31" s="41" t="n"/>
      <c r="M31" t="inlineStr">
        <is>
          <t>Đã define</t>
        </is>
      </c>
    </row>
    <row r="32" ht="69" customHeight="1">
      <c r="A32" s="42" t="inlineStr">
        <is>
          <t>SS-SC-04</t>
        </is>
      </c>
      <c r="B32" s="42" t="inlineStr">
        <is>
          <t>Truy vấn thời gian bằng ngôn ngữ tự nhiên</t>
        </is>
      </c>
      <c r="C32" s="42" t="inlineStr">
        <is>
          <t>SS-TC-021</t>
        </is>
      </c>
      <c r="D32" s="42" t="inlineStr">
        <is>
          <t>NL thời gian: "xe máy buổi tối"</t>
        </is>
      </c>
      <c r="E32" s="42" t="inlineStr">
        <is>
          <t>Đăng nhập VMS (becamex). Mở trang Tìm kiếm thông minh.</t>
        </is>
      </c>
      <c r="F32" s="42" t="inlineStr">
        <is>
          <t>1. Precision, 30 ngày gần nhất, Cả ngày.
2. Tìm "xe máy buổi tối".
3. Đối chiếu interpretation + thời gian từng kết quả (GMT+7).</t>
        </is>
      </c>
      <c r="G32" s="42" t="inlineStr">
        <is>
          <t>xe máy buổi tối</t>
        </is>
      </c>
      <c r="H32" s="42" t="inlineStr">
        <is>
          <t>Hệ thống hiểu đúng: time_of_day ~18:00–24:00; mọi kết quả nằm trong mốc thời gian.</t>
        </is>
      </c>
      <c r="I32" s="46" t="inlineStr">
        <is>
          <t>Không parse: time_of_day = null → 149/200 kết quả ngoài buổi tối.</t>
        </is>
      </c>
      <c r="J32" s="45" t="inlineStr">
        <is>
          <t>Cần confirm các case filter NL thời gian</t>
        </is>
      </c>
      <c r="K32" s="50" t="inlineStr">
        <is>
          <t>NEED CONFIRM</t>
        </is>
      </c>
      <c r="L32" s="41" t="n"/>
      <c r="M32" t="inlineStr">
        <is>
          <t>Đã define</t>
        </is>
      </c>
    </row>
    <row r="33" ht="69" customHeight="1">
      <c r="A33" s="42" t="inlineStr">
        <is>
          <t>SS-SC-04</t>
        </is>
      </c>
      <c r="B33" s="42" t="inlineStr">
        <is>
          <t>Truy vấn thời gian bằng ngôn ngữ tự nhiên</t>
        </is>
      </c>
      <c r="C33" s="42" t="inlineStr">
        <is>
          <t>SS-TC-022</t>
        </is>
      </c>
      <c r="D33" s="42" t="inlineStr">
        <is>
          <t>NL thời gian: "xe ô tô ban đêm"</t>
        </is>
      </c>
      <c r="E33" s="42" t="inlineStr">
        <is>
          <t>Đăng nhập VMS (becamex). Mở trang Tìm kiếm thông minh.</t>
        </is>
      </c>
      <c r="F33" s="42" t="inlineStr">
        <is>
          <t>1. Precision, 30 ngày gần nhất, Cả ngày.
2. Tìm "xe ô tô ban đêm".
3. Đối chiếu interpretation + thời gian từng kết quả (GMT+7).</t>
        </is>
      </c>
      <c r="G33" s="42" t="inlineStr">
        <is>
          <t>xe ô tô ban đêm</t>
        </is>
      </c>
      <c r="H33" s="42" t="inlineStr">
        <is>
          <t>Hệ thống hiểu đúng: time_of_day ~18:00–06:00; mọi kết quả nằm trong mốc thời gian.</t>
        </is>
      </c>
      <c r="I33" s="46" t="inlineStr">
        <is>
          <t>Không parse: time_of_day = null → 32/200 kết quả là ban ngày.</t>
        </is>
      </c>
      <c r="J33" s="45" t="inlineStr">
        <is>
          <t>Cần confirm các case filter NL thời gian</t>
        </is>
      </c>
      <c r="K33" s="50" t="inlineStr">
        <is>
          <t>NEED CONFIRM</t>
        </is>
      </c>
      <c r="L33" s="41" t="n"/>
      <c r="M33" t="inlineStr">
        <is>
          <t>Đã define</t>
        </is>
      </c>
    </row>
    <row r="34" ht="69" customHeight="1">
      <c r="A34" s="42" t="inlineStr">
        <is>
          <t>SS-SC-04</t>
        </is>
      </c>
      <c r="B34" s="42" t="inlineStr">
        <is>
          <t>Truy vấn thời gian bằng ngôn ngữ tự nhiên</t>
        </is>
      </c>
      <c r="C34" s="42" t="inlineStr">
        <is>
          <t>SS-TC-023</t>
        </is>
      </c>
      <c r="D34" s="42" t="inlineStr">
        <is>
          <t>NL thời gian: "xe máy thứ tư"</t>
        </is>
      </c>
      <c r="E34" s="42" t="inlineStr">
        <is>
          <t>Đăng nhập VMS (becamex). Mở trang Tìm kiếm thông minh.</t>
        </is>
      </c>
      <c r="F34" s="42" t="inlineStr">
        <is>
          <t>1. Precision, 30 ngày gần nhất, Cả ngày.
2. Tìm "xe máy thứ tư".
3. Đối chiếu interpretation + thời gian từng kết quả (GMT+7).</t>
        </is>
      </c>
      <c r="G34" s="42" t="inlineStr">
        <is>
          <t>xe máy thứ tư</t>
        </is>
      </c>
      <c r="H34" s="42" t="inlineStr">
        <is>
          <t>Hệ thống hiểu đúng: Các ngày thứ Tư trong khoảng đã chọn (hoặc thứ Tư gần nhất 23/09); mọi kết quả nằm trong mốc thời gian.</t>
        </is>
      </c>
      <c r="I34" s="46" t="inlineStr">
        <is>
          <t>API 422 "Could not resolve the date stated in the search query"; UI nhảy về màn default.</t>
        </is>
      </c>
      <c r="J34" s="45" t="inlineStr">
        <is>
          <t>Cần confirm các case filter NL thời gian</t>
        </is>
      </c>
      <c r="K34" s="50" t="inlineStr">
        <is>
          <t>NEED CONFIRM</t>
        </is>
      </c>
      <c r="L34" s="41" t="n"/>
      <c r="M34" t="inlineStr">
        <is>
          <t>Đã define</t>
        </is>
      </c>
    </row>
    <row r="35" ht="69" customHeight="1">
      <c r="A35" s="42" t="inlineStr">
        <is>
          <t>SS-SC-04</t>
        </is>
      </c>
      <c r="B35" s="42" t="inlineStr">
        <is>
          <t>Truy vấn thời gian bằng ngôn ngữ tự nhiên</t>
        </is>
      </c>
      <c r="C35" s="42" t="inlineStr">
        <is>
          <t>SS-TC-024</t>
        </is>
      </c>
      <c r="D35" s="42" t="inlineStr">
        <is>
          <t>NL thời gian: "xe tải thứ năm tuần trước"</t>
        </is>
      </c>
      <c r="E35" s="42" t="inlineStr">
        <is>
          <t>Đăng nhập VMS (becamex). Mở trang Tìm kiếm thông minh.</t>
        </is>
      </c>
      <c r="F35" s="42" t="inlineStr">
        <is>
          <t>1. Precision, 30 ngày gần nhất, Cả ngày.
2. Tìm "xe tải thứ năm tuần trước".
3. Đối chiếu interpretation + thời gian từng kết quả (GMT+7).</t>
        </is>
      </c>
      <c r="G35" s="42" t="inlineStr">
        <is>
          <t>xe tải thứ năm tuần trước</t>
        </is>
      </c>
      <c r="H35" s="42" t="inlineStr">
        <is>
          <t>Hệ thống hiểu đúng: Ngày 24/09/2026 (Thứ Năm tuần trước, hôm nay Thứ Hai 28/09); mọi kết quả nằm trong mốc thời gian.</t>
        </is>
      </c>
      <c r="I35" s="46" t="inlineStr">
        <is>
          <t>Range 2026-09-16T17:00Z → 2026-09-17T17:00Z = 17/09 (lệch 1 tuần) → 0 kết quả. Ngoài ra end_time 17:00:00Z (không phải 16:59:59.999) → dính 00:00 ngày hôm sau.</t>
        </is>
      </c>
      <c r="J35" s="45" t="inlineStr">
        <is>
          <t>Cần confirm các case filter NL thời gian</t>
        </is>
      </c>
      <c r="K35" s="50" t="inlineStr">
        <is>
          <t>NEED CONFIRM</t>
        </is>
      </c>
      <c r="L35" s="41" t="n"/>
      <c r="M35" t="inlineStr">
        <is>
          <t>Đã define</t>
        </is>
      </c>
    </row>
    <row r="36" ht="69" customHeight="1">
      <c r="A36" s="42" t="inlineStr">
        <is>
          <t>SS-SC-04</t>
        </is>
      </c>
      <c r="B36" s="42" t="inlineStr">
        <is>
          <t>Truy vấn thời gian bằng ngôn ngữ tự nhiên</t>
        </is>
      </c>
      <c r="C36" s="42" t="inlineStr">
        <is>
          <t>SS-TC-025</t>
        </is>
      </c>
      <c r="D36" s="42" t="inlineStr">
        <is>
          <t>NL thời gian: "xe máy hôm qua"</t>
        </is>
      </c>
      <c r="E36" s="42" t="inlineStr">
        <is>
          <t>Đăng nhập VMS (becamex). Mở trang Tìm kiếm thông minh.</t>
        </is>
      </c>
      <c r="F36" s="42" t="inlineStr">
        <is>
          <t>1. Precision, 30 ngày gần nhất, Cả ngày.
2. Tìm "xe máy hôm qua".
3. Đối chiếu interpretation + thời gian từng kết quả (GMT+7).</t>
        </is>
      </c>
      <c r="G36" s="42" t="inlineStr">
        <is>
          <t>xe máy hôm qua</t>
        </is>
      </c>
      <c r="H36" s="42" t="inlineStr">
        <is>
          <t>Hệ thống hiểu đúng: Ngày 27/09/2026; mọi kết quả nằm trong mốc thời gian.</t>
        </is>
      </c>
      <c r="I36" s="46" t="inlineStr">
        <is>
          <t>Range 2026-09-26T17:00Z → 2026-09-27T16:59:59Z (đúng 27/09). 0 kết quả do không có dữ liệu ngày 27/09.</t>
        </is>
      </c>
      <c r="J36" s="7" t="n"/>
      <c r="K36" s="47" t="inlineStr">
        <is>
          <t>PASS</t>
        </is>
      </c>
      <c r="L36" s="41" t="n"/>
    </row>
    <row r="37" ht="69" customHeight="1">
      <c r="A37" s="42" t="inlineStr">
        <is>
          <t>SS-SC-04</t>
        </is>
      </c>
      <c r="B37" s="42" t="inlineStr">
        <is>
          <t>Truy vấn thời gian bằng ngôn ngữ tự nhiên</t>
        </is>
      </c>
      <c r="C37" s="42" t="inlineStr">
        <is>
          <t>SS-TC-026</t>
        </is>
      </c>
      <c r="D37" s="42" t="inlineStr">
        <is>
          <t>NL thời gian: "xe ô tô ngày 24/9"</t>
        </is>
      </c>
      <c r="E37" s="42" t="inlineStr">
        <is>
          <t>Đăng nhập VMS (becamex). Mở trang Tìm kiếm thông minh.</t>
        </is>
      </c>
      <c r="F37" s="42" t="inlineStr">
        <is>
          <t>1. Precision, 30 ngày gần nhất, Cả ngày.
2. Tìm "xe ô tô ngày 24/9".
3. Đối chiếu interpretation + thời gian từng kết quả (GMT+7).</t>
        </is>
      </c>
      <c r="G37" s="42" t="inlineStr">
        <is>
          <t>xe ô tô ngày 24/9</t>
        </is>
      </c>
      <c r="H37" s="42" t="inlineStr">
        <is>
          <t>Hệ thống hiểu đúng: Ngày 24/09/2026; mọi kết quả nằm trong mốc thời gian.</t>
        </is>
      </c>
      <c r="I37" s="46" t="inlineStr">
        <is>
          <t>Range 24/09 00:00–23:59 GMT+7; 200 kết quả, 0 ngoài ngày.</t>
        </is>
      </c>
      <c r="J37" s="7" t="n"/>
      <c r="K37" s="47" t="inlineStr">
        <is>
          <t>PASS</t>
        </is>
      </c>
      <c r="L37" s="41" t="n"/>
    </row>
    <row r="38" ht="69" customHeight="1">
      <c r="A38" s="42" t="inlineStr">
        <is>
          <t>SS-SC-04</t>
        </is>
      </c>
      <c r="B38" s="42" t="inlineStr">
        <is>
          <t>Truy vấn thời gian bằng ngôn ngữ tự nhiên</t>
        </is>
      </c>
      <c r="C38" s="42" t="inlineStr">
        <is>
          <t>SS-TC-027</t>
        </is>
      </c>
      <c r="D38" s="42" t="inlineStr">
        <is>
          <t>NL thời gian: "xe máy chiều ngày 23/9"</t>
        </is>
      </c>
      <c r="E38" s="42" t="inlineStr">
        <is>
          <t>Đăng nhập VMS (becamex). Mở trang Tìm kiếm thông minh.</t>
        </is>
      </c>
      <c r="F38" s="42" t="inlineStr">
        <is>
          <t>1. Precision, 30 ngày gần nhất, Cả ngày.
2. Tìm "xe máy chiều ngày 23/9".
3. Đối chiếu interpretation + thời gian từng kết quả (GMT+7).</t>
        </is>
      </c>
      <c r="G38" s="42" t="inlineStr">
        <is>
          <t>xe máy chiều ngày 23/9</t>
        </is>
      </c>
      <c r="H38" s="42" t="inlineStr">
        <is>
          <t>Hệ thống hiểu đúng: 23/09/2026 12:00–18:00; mọi kết quả nằm trong mốc thời gian.</t>
        </is>
      </c>
      <c r="I38" s="46" t="inlineStr">
        <is>
          <t>Range 2026-09-23T05:00Z → 11:00Z (= 12:00–18:00 GMT+7); 200 kết quả, 0 ngoài khung.</t>
        </is>
      </c>
      <c r="J38" s="7" t="n"/>
      <c r="K38" s="47" t="inlineStr">
        <is>
          <t>PASS</t>
        </is>
      </c>
      <c r="L38" s="41" t="n"/>
    </row>
    <row r="39" ht="43.2" customHeight="1">
      <c r="A39" s="42" t="inlineStr">
        <is>
          <t>SS-SC-04</t>
        </is>
      </c>
      <c r="B39" s="42" t="inlineStr">
        <is>
          <t>Truy vấn thời gian bằng ngôn ngữ tự nhiên</t>
        </is>
      </c>
      <c r="C39" s="42" t="inlineStr">
        <is>
          <t>SS-TC-028</t>
        </is>
      </c>
      <c r="D39" s="42" t="inlineStr">
        <is>
          <t>Mốc thời gian AI hiểu được hiển thị cho user</t>
        </is>
      </c>
      <c r="E39" s="42" t="inlineStr">
        <is>
          <t>Đăng nhập VMS (becamex). Mở trang Tìm kiếm thông minh.</t>
        </is>
      </c>
      <c r="F39" s="42" t="inlineStr">
        <is>
          <t>1. Tìm "xe máy lúc 1h chiều".
2. Quan sát dòng "AI phân tích" và nút khung giờ.</t>
        </is>
      </c>
      <c r="G39" s="42" t="inlineStr">
        <is>
          <t>xe máy lúc 1h chiều</t>
        </is>
      </c>
      <c r="H39" s="42" t="inlineStr">
        <is>
          <t>Dòng AI phân tích có chip thời gian (vd "13:00 – 14:00") hoặc nút khung giờ cập nhật theo.</t>
        </is>
      </c>
      <c r="I39" s="46" t="inlineStr">
        <is>
          <t>API đã áp dụng 13:00–14:00 nhưng UI chỉ hiện chip "Xe máy"; nút khung giờ vẫn "Cả ngày" → user không biết hệ thống đã lọc theo giờ.</t>
        </is>
      </c>
      <c r="J39" s="45" t="inlineStr">
        <is>
          <t>Cần confirm các case filter NL thời gian</t>
        </is>
      </c>
      <c r="K39" s="50" t="inlineStr">
        <is>
          <t>NEED CONFIRM</t>
        </is>
      </c>
      <c r="L39" s="41" t="n"/>
      <c r="M39" t="inlineStr">
        <is>
          <t>Đã define</t>
        </is>
      </c>
    </row>
    <row r="40" ht="27.6" customHeight="1">
      <c r="A40" s="42" t="inlineStr">
        <is>
          <t>SS-SC-05</t>
        </is>
      </c>
      <c r="B40" s="42" t="inlineStr">
        <is>
          <t>Nội dung dòng kết quả</t>
        </is>
      </c>
      <c r="C40" s="42" t="inlineStr">
        <is>
          <t>SS-TC-029</t>
        </is>
      </c>
      <c r="D40" s="42" t="inlineStr">
        <is>
          <t>Label hiển thị "AI phân tích"</t>
        </is>
      </c>
      <c r="E40" s="42" t="inlineStr">
        <is>
          <t>Đăng nhập VMS (becamex). Mở trang Tìm kiếm thông minh.</t>
        </is>
      </c>
      <c r="F40" s="42" t="inlineStr">
        <is>
          <t>1. Tìm "xe ô tô màu trắng".
2. Quan sát dòng Kết quả.</t>
        </is>
      </c>
      <c r="G40" s="43" t="inlineStr">
        <is>
          <t>-</t>
        </is>
      </c>
      <c r="H40" s="42" t="inlineStr">
        <is>
          <t>Hiển thị "AI phân tích", không còn "AI hiểu là".</t>
        </is>
      </c>
      <c r="I40" s="46" t="inlineStr">
        <is>
          <t>Hiển thị "AI phân tích" + chip "Đối tượng: Phương tiện", "Loại xe: Ô tô", "Màu: Trắng".</t>
        </is>
      </c>
      <c r="J40" s="7" t="n"/>
      <c r="K40" s="47" t="inlineStr">
        <is>
          <t>PASS</t>
        </is>
      </c>
      <c r="L40" s="41" t="n"/>
    </row>
    <row r="41" ht="27.6" customHeight="1">
      <c r="A41" s="42" t="inlineStr">
        <is>
          <t>SS-SC-05</t>
        </is>
      </c>
      <c r="B41" s="42" t="inlineStr">
        <is>
          <t>Nội dung dòng kết quả</t>
        </is>
      </c>
      <c r="C41" s="42" t="inlineStr">
        <is>
          <t>SS-TC-030</t>
        </is>
      </c>
      <c r="D41" s="42" t="inlineStr">
        <is>
          <t>Không còn label "Metadata"</t>
        </is>
      </c>
      <c r="E41" s="42" t="inlineStr">
        <is>
          <t>Đăng nhập VMS (becamex). Mở trang Tìm kiếm thông minh.</t>
        </is>
      </c>
      <c r="F41" s="42" t="inlineStr">
        <is>
          <t>1. Tìm kiếm bất kỳ.
2. Quan sát dòng Kết quả / thẻ.</t>
        </is>
      </c>
      <c r="G41" s="43" t="inlineStr">
        <is>
          <t>-</t>
        </is>
      </c>
      <c r="H41" s="42" t="inlineStr">
        <is>
          <t>Không có label "Metadata".</t>
        </is>
      </c>
      <c r="I41" s="46" t="inlineStr">
        <is>
          <t>Không còn label "Metadata" trên dòng kết quả và thẻ.</t>
        </is>
      </c>
      <c r="J41" s="7" t="n"/>
      <c r="K41" s="47" t="inlineStr">
        <is>
          <t>PASS</t>
        </is>
      </c>
      <c r="L41" s="41" t="n"/>
    </row>
    <row r="42" ht="27.6" customHeight="1">
      <c r="A42" s="42" t="inlineStr">
        <is>
          <t>SS-SC-06</t>
        </is>
      </c>
      <c r="B42" s="42" t="inlineStr">
        <is>
          <t>Thẻ kết quả (grid)</t>
        </is>
      </c>
      <c r="C42" s="42" t="inlineStr">
        <is>
          <t>SS-TC-031</t>
        </is>
      </c>
      <c r="D42" s="42" t="inlineStr">
        <is>
          <t>Badge độ liên quan ở góc trên-trái ảnh</t>
        </is>
      </c>
      <c r="E42" s="42" t="inlineStr">
        <is>
          <t>Đăng nhập VMS (becamex). Mở trang Tìm kiếm thông minh.</t>
        </is>
      </c>
      <c r="F42" s="42" t="inlineStr">
        <is>
          <t>1. Tìm "xe máy".
2. Quan sát thẻ.</t>
        </is>
      </c>
      <c r="G42" s="43" t="inlineStr">
        <is>
          <t>-</t>
        </is>
      </c>
      <c r="H42" s="42" t="inlineStr">
        <is>
          <t>Badge điểm ở góc trên-trái thumbnail.</t>
        </is>
      </c>
      <c r="I42" s="46" t="inlineStr">
        <is>
          <t>Badge (vd 80) ở toạ độ tương đối (18,19) so với ảnh = góc trên-trái.</t>
        </is>
      </c>
      <c r="J42" s="7" t="n"/>
      <c r="K42" s="47" t="inlineStr">
        <is>
          <t>PASS</t>
        </is>
      </c>
      <c r="L42" s="41" t="n"/>
    </row>
    <row r="43" ht="27.6" customHeight="1">
      <c r="A43" s="42" t="inlineStr">
        <is>
          <t>SS-SC-06</t>
        </is>
      </c>
      <c r="B43" s="42" t="inlineStr">
        <is>
          <t>Thẻ kết quả (grid)</t>
        </is>
      </c>
      <c r="C43" s="42" t="inlineStr">
        <is>
          <t>SS-TC-032</t>
        </is>
      </c>
      <c r="D43" s="42" t="inlineStr">
        <is>
          <t>Tối đa 3 label, dư hiển thị "+N"</t>
        </is>
      </c>
      <c r="E43" s="42" t="inlineStr">
        <is>
          <t>Đăng nhập VMS (becamex). Mở trang Tìm kiếm thông minh.</t>
        </is>
      </c>
      <c r="F43" s="42" t="inlineStr">
        <is>
          <t>1. Tìm "xe máy".
2. Tìm thẻ có &gt;3 đối tượng.</t>
        </is>
      </c>
      <c r="G43" s="42" t="inlineStr">
        <is>
          <t>Thẻ LH-LTT-DK_CAM-02 23/09 16:18</t>
        </is>
      </c>
      <c r="H43" s="42" t="inlineStr">
        <is>
          <t>Hiển thị 3 label + badge "+N".</t>
        </is>
      </c>
      <c r="I43" s="46" t="inlineStr">
        <is>
          <t>Hiển thị 3 label (61A93270/61A41192/51H83384) + "+4".</t>
        </is>
      </c>
      <c r="J43" s="7" t="n"/>
      <c r="K43" s="47" t="inlineStr">
        <is>
          <t>PASS</t>
        </is>
      </c>
      <c r="L43" s="41" t="n"/>
    </row>
    <row r="44" ht="69" customHeight="1">
      <c r="A44" s="42" t="inlineStr">
        <is>
          <t>SS-SC-06</t>
        </is>
      </c>
      <c r="B44" s="42" t="inlineStr">
        <is>
          <t>Thẻ kết quả (grid)</t>
        </is>
      </c>
      <c r="C44" s="42" t="inlineStr">
        <is>
          <t>SS-TC-034</t>
        </is>
      </c>
      <c r="D44" s="42" t="inlineStr">
        <is>
          <t>Label trên thẻ phản ánh đối tượng khớp truy vấn</t>
        </is>
      </c>
      <c r="E44" s="42" t="inlineStr">
        <is>
          <t>Đăng nhập VMS (becamex). Mở trang Tìm kiếm thông minh.</t>
        </is>
      </c>
      <c r="F44" s="42" t="inlineStr">
        <is>
          <t>1. Tìm "xe máy".
2. Quan sát label các thẻ top.</t>
        </is>
      </c>
      <c r="G44" s="42" t="inlineStr">
        <is>
          <t>xe máy</t>
        </is>
      </c>
      <c r="H44" s="42" t="inlineStr">
        <is>
          <t>Thẻ khớp "xe máy" có label liên quan xe máy.</t>
        </is>
      </c>
      <c r="I44" s="46" t="inlineStr">
        <is>
          <t>Thẻ top 1 chỉ có label "62A12203 Ô tô Xám" (mô tả: minivan, xe máy ở xa). Label chỉ lấy từ event biển số; class yoloe khớp (motorbike) không hiển thị → user khó hiểu vì sao kết quả khớp. Cần PO/dev xác nhận.</t>
        </is>
      </c>
      <c r="J44" s="7" t="inlineStr">
        <is>
          <t>Mode precision hiện chỉ lấy từ metadata của hệ thống</t>
        </is>
      </c>
      <c r="K44" s="50" t="inlineStr">
        <is>
          <t>NEED CONFIRM</t>
        </is>
      </c>
      <c r="M44" s="44" t="inlineStr">
        <is>
          <t>Ai Phân tích nên show cả các thuộc tính filter dùng để trả về kết quả. 
Đối tượng: phượng tiện
Loại xe: Xe máy</t>
        </is>
      </c>
    </row>
    <row r="45" ht="41.4" customHeight="1">
      <c r="A45" s="42" t="inlineStr">
        <is>
          <t>SS-SC-06</t>
        </is>
      </c>
      <c r="B45" s="42" t="inlineStr">
        <is>
          <t>Thẻ kết quả (list)</t>
        </is>
      </c>
      <c r="C45" s="42" t="inlineStr">
        <is>
          <t>SS-TC-035</t>
        </is>
      </c>
      <c r="D45" s="42" t="inlineStr">
        <is>
          <t>Chế độ xem danh sách</t>
        </is>
      </c>
      <c r="E45" s="42" t="inlineStr">
        <is>
          <t>Đăng nhập VMS (becamex). Mở trang Tìm kiếm thông minh.</t>
        </is>
      </c>
      <c r="F45" s="42" t="inlineStr">
        <is>
          <t>1. Click icon list.
2. Quan sát bảng.</t>
        </is>
      </c>
      <c r="G45" s="43" t="inlineStr">
        <is>
          <t>-</t>
        </is>
      </c>
      <c r="H45" s="42" t="inlineStr">
        <is>
          <t>Bảng có Hình ảnh, Camera, Địa điểm, Thời gian, Thuộc tính, Độ liên quan hiển thị đầy đủ.</t>
        </is>
      </c>
      <c r="I45" s="46" t="inlineStr">
        <is>
          <t>Bảng hiển thị đủ cột. Lưu ý nhỏ: khi mở panel chi tiết, header "Độ liên quan" bị cắt thành "Độ liên c".</t>
        </is>
      </c>
      <c r="J45" s="7" t="n"/>
      <c r="K45" s="47" t="inlineStr">
        <is>
          <t>PASS</t>
        </is>
      </c>
      <c r="L45" s="41" t="n"/>
    </row>
    <row r="46" ht="27.6" customHeight="1">
      <c r="A46" s="42" t="inlineStr">
        <is>
          <t>SS-SC-07</t>
        </is>
      </c>
      <c r="B46" s="42" t="inlineStr">
        <is>
          <t>Chi tiết đoạn video</t>
        </is>
      </c>
      <c r="C46" s="42" t="inlineStr">
        <is>
          <t>SS-TC-036</t>
        </is>
      </c>
      <c r="D46" s="42" t="inlineStr">
        <is>
          <t xml:space="preserve">Độ liên quan hiển thị </t>
        </is>
      </c>
      <c r="E46" s="42" t="inlineStr">
        <is>
          <t>Đăng nhập VMS (becamex). Mở trang Tìm kiếm thông minh.</t>
        </is>
      </c>
      <c r="F46" s="42" t="inlineStr">
        <is>
          <t>1. Click 1 thẻ.
2. Quan sát header panel.</t>
        </is>
      </c>
      <c r="G46" s="43" t="inlineStr">
        <is>
          <t>-</t>
        </is>
      </c>
      <c r="H46" s="42" t="inlineStr">
        <is>
          <t xml:space="preserve">có card độ liên quan </t>
        </is>
      </c>
      <c r="I46" s="46" t="inlineStr">
        <is>
          <t xml:space="preserve">có card độ liên quan </t>
        </is>
      </c>
      <c r="J46" s="7" t="n"/>
      <c r="K46" s="47" t="inlineStr">
        <is>
          <t>PASS</t>
        </is>
      </c>
      <c r="L46" s="41" t="n"/>
    </row>
    <row r="47" ht="41.4" customHeight="1">
      <c r="A47" s="42" t="inlineStr">
        <is>
          <t>SS-SC-07</t>
        </is>
      </c>
      <c r="B47" s="42" t="inlineStr">
        <is>
          <t>Chi tiết đoạn video</t>
        </is>
      </c>
      <c r="C47" s="42" t="inlineStr">
        <is>
          <t>SS-TC-037</t>
        </is>
      </c>
      <c r="D47" s="42" t="inlineStr">
        <is>
          <t>Thẻ thuộc tính hiển thị dạng label thu gọn + dropdown</t>
        </is>
      </c>
      <c r="E47" s="42" t="inlineStr">
        <is>
          <t>Đăng nhập VMS (becamex). Mở trang Tìm kiếm thông minh.</t>
        </is>
      </c>
      <c r="F47" s="42" t="inlineStr">
        <is>
          <t>1. Mở chi tiết thẻ có nhiều đối tượng.
2. Click mũi tên của 1 thuộc tính.</t>
        </is>
      </c>
      <c r="G47" s="42" t="inlineStr">
        <is>
          <t>Thẻ 23/09 16:18 (7 đối tượng)</t>
        </is>
      </c>
      <c r="H47" s="42" t="inlineStr">
        <is>
          <t>Mỗi đối tượng 1 dòng label; click mở chi tiết attribute.</t>
        </is>
      </c>
      <c r="I47" s="46" t="inlineStr">
        <is>
          <t>Mỗi đối tượng 1 dòng (vd "61A93270 Ô tô ■ Xanh lá"); mở ra: Đối tượng, Loại xe, Màu, Biển số, Sự kiện. Các dòng khác thu gọn.</t>
        </is>
      </c>
      <c r="J47" s="7" t="n"/>
      <c r="K47" s="47" t="inlineStr">
        <is>
          <t>PASS</t>
        </is>
      </c>
      <c r="L47" s="41" t="n"/>
    </row>
    <row r="48" ht="27.6" customHeight="1">
      <c r="A48" s="42" t="inlineStr">
        <is>
          <t>SS-SC-07</t>
        </is>
      </c>
      <c r="B48" s="42" t="inlineStr">
        <is>
          <t>Chi tiết đoạn video</t>
        </is>
      </c>
      <c r="C48" s="42" t="inlineStr">
        <is>
          <t>SS-TC-038</t>
        </is>
      </c>
      <c r="D48" s="42" t="inlineStr">
        <is>
          <t>Phát clip đoạn video trong chi tiết</t>
        </is>
      </c>
      <c r="E48" s="42" t="inlineStr">
        <is>
          <t>Đăng nhập VMS (becamex). Mở trang Tìm kiếm thông minh.</t>
        </is>
      </c>
      <c r="F48" s="42" t="inlineStr">
        <is>
          <t>1. Mở chi tiết thẻ.
2. Quan sát player.</t>
        </is>
      </c>
      <c r="G48" s="42" t="inlineStr">
        <is>
          <t>playback_url /recording/.../index.m3u8</t>
        </is>
      </c>
      <c r="H48" s="42" t="inlineStr">
        <is>
          <t>Clip phát được tại đúng timestamp của đoạn.</t>
        </is>
      </c>
      <c r="I48" s="46" t="inlineStr">
        <is>
          <t>Clip phát được tại đúng timestamp của đoạn.</t>
        </is>
      </c>
      <c r="J48" s="7" t="n"/>
      <c r="K48" s="47" t="inlineStr">
        <is>
          <t>PASS</t>
        </is>
      </c>
      <c r="L48" s="41" t="n"/>
    </row>
    <row r="49" ht="55.2" customHeight="1">
      <c r="A49" s="42" t="inlineStr">
        <is>
          <t>SS-SC-08</t>
        </is>
      </c>
      <c r="B49" s="42" t="inlineStr">
        <is>
          <t>Pipeline produce AI metadata/feature</t>
        </is>
      </c>
      <c r="C49" s="42" t="inlineStr">
        <is>
          <t>SS-TC-039</t>
        </is>
      </c>
      <c r="D49" s="42" t="inlineStr">
        <is>
          <t>Mỗi đoạn video có đủ metadata do pipeline sinh</t>
        </is>
      </c>
      <c r="E49" s="42" t="inlineStr">
        <is>
          <t>Đăng nhập VMS (becamex). Mở trang Tìm kiếm thông minh.</t>
        </is>
      </c>
      <c r="F49" s="42" t="inlineStr">
        <is>
          <t>1. Tìm "xe máy" (Precision).
2. Kiểm tra item trong response API.</t>
        </is>
      </c>
      <c r="G49" s="42" t="inlineStr">
        <is>
          <t>POST /api/smart_search</t>
        </is>
      </c>
      <c r="H49" s="42" t="inlineStr">
        <is>
          <t>Item có segment_id, camera, start/end, summary, thumb_url, objects, event_ids, playback_url, score_breakdown.</t>
        </is>
      </c>
      <c r="I49" s="46" t="inlineStr">
        <is>
          <t>Có đủ các trường. score_breakdown chỉ có metadata=1, vector/fulltext = null (vector không chạy – xem TC-008).</t>
        </is>
      </c>
      <c r="J49" s="7" t="n"/>
      <c r="K49" s="47" t="inlineStr">
        <is>
          <t>PASS</t>
        </is>
      </c>
      <c r="L49" s="41" t="n"/>
    </row>
    <row r="50" ht="69" customHeight="1">
      <c r="A50" s="42" t="inlineStr">
        <is>
          <t>SS-SC-08</t>
        </is>
      </c>
      <c r="B50" s="42" t="inlineStr">
        <is>
          <t>Pipeline produce AI metadata/feature</t>
        </is>
      </c>
      <c r="C50" s="42" t="inlineStr">
        <is>
          <t>SS-TC-040</t>
        </is>
      </c>
      <c r="D50" s="42" t="inlineStr">
        <is>
          <t>Kết quả có start/end và playback_url HLS lấy từ luồng record</t>
        </is>
      </c>
      <c r="E50" s="42" t="inlineStr">
        <is>
          <t>Đăng nhập VMS (becamex). Mở trang Tìm kiếm thông minh.</t>
        </is>
      </c>
      <c r="F50" s="42" t="inlineStr">
        <is>
          <t>1. Tìm "xe máy".
2. Kiểm tra playback_url của item.
3. Mở chi tiết, theo dõi network.</t>
        </is>
      </c>
      <c r="G50" s="42" t="inlineStr">
        <is>
          <t>LH-LTT-HV_CAM-04 24/09 13:15:01–13:15:15</t>
        </is>
      </c>
      <c r="H50" s="42" t="inlineStr">
        <is>
          <t>playback_url dạng /recording/{cam}/start/{epoch}/end/{epoch}/index.m3u8 khớp start/end của đoạn; m3u8 trả playlist hợp lệ.</t>
        </is>
      </c>
      <c r="I50" s="46" t="inlineStr">
        <is>
          <t>playback_url = /recording/LH-LTT-HV_CAM-04/start/1790230501/end/1790230516/index.m3u8 (khớp 13:15:01–13:15:16 GMT+7). API :8001 trả 200, segment .ts :8060 trả 200. (Phát trong UI lỗi – xem TC-038.)</t>
        </is>
      </c>
      <c r="J50" s="7" t="n"/>
      <c r="K50" s="47" t="inlineStr">
        <is>
          <t>PASS</t>
        </is>
      </c>
      <c r="L50" s="41" t="n"/>
    </row>
    <row r="51" ht="41.4" customHeight="1">
      <c r="A51" s="42" t="inlineStr">
        <is>
          <t>SS-SC-08</t>
        </is>
      </c>
      <c r="B51" s="42" t="inlineStr">
        <is>
          <t>Pipeline produce AI metadata/feature</t>
        </is>
      </c>
      <c r="C51" s="42" t="inlineStr">
        <is>
          <t>SS-TC-041</t>
        </is>
      </c>
      <c r="D51" s="42" t="inlineStr">
        <is>
          <t>Luồng V1 end-to-end ở chế độ Precision</t>
        </is>
      </c>
      <c r="E51" s="42" t="inlineStr">
        <is>
          <t>Đăng nhập VMS (becamex). Mở trang Tìm kiếm thông minh.</t>
        </is>
      </c>
      <c r="F51" s="42" t="inlineStr">
        <is>
          <t>1. Nhập "xe tải".
2. Tìm kiếm.
3. Xem dòng AI phân tích &amp; kết quả.</t>
        </is>
      </c>
      <c r="G51" s="42" t="inlineStr">
        <is>
          <t>xe tải</t>
        </is>
      </c>
      <c r="H51" s="42" t="inlineStr">
        <is>
          <t>AI trích keyword (Xe tải) và trả danh sách đoạn video.</t>
        </is>
      </c>
      <c r="I51" s="46" t="inlineStr">
        <is>
          <t>yoloe_classes=[truck]; trả 200 đoạn video có thumbnail, camera, thời gian, mô tả.</t>
        </is>
      </c>
      <c r="J51" s="7" t="n"/>
      <c r="K51" s="47" t="inlineStr">
        <is>
          <t>PASS</t>
        </is>
      </c>
      <c r="L51" s="41" t="n"/>
    </row>
    <row r="52" ht="55.2" customHeight="1">
      <c r="A52" s="42" t="inlineStr">
        <is>
          <t>SS-SC-09</t>
        </is>
      </c>
      <c r="B52" s="42" t="inlineStr">
        <is>
          <t>Spec #1 – Tìm kiếm ngôn ngữ tự nhiên (Must have)</t>
        </is>
      </c>
      <c r="C52" s="42" t="inlineStr">
        <is>
          <t>SS-TC-042</t>
        </is>
      </c>
      <c r="D52" s="42" t="inlineStr">
        <is>
          <t>Câu ví dụ trong spec: "người áo xanh đeo balo"</t>
        </is>
      </c>
      <c r="E52" s="42" t="inlineStr">
        <is>
          <t>Đăng nhập VMS (becamex). Mở trang Tìm kiếm thông minh.</t>
        </is>
      </c>
      <c r="F52" s="42" t="inlineStr">
        <is>
          <t>1. Precision, 30 ngày.
2. Tìm "người áo xanh đeo balo".</t>
        </is>
      </c>
      <c r="G52" s="42" t="inlineStr">
        <is>
          <t>người áo xanh đeo balo</t>
        </is>
      </c>
      <c r="H52" s="42" t="inlineStr">
        <is>
          <t>Bóc tách: Người + màu áo xanh + balo; trả kết quả phù hợp.</t>
        </is>
      </c>
      <c r="I52" s="46" t="inlineStr">
        <is>
          <t>Parse: yoloe_classes=[backpack, person], unsupported_filters=[upper_color] → 0 kết quả. UI chỉ hiện "Ba lô | Người", không báo "áo xanh" chưa được hỗ trợ.</t>
        </is>
      </c>
      <c r="J52" s="7" t="inlineStr">
        <is>
          <t>Chưa develop</t>
        </is>
      </c>
      <c r="K52" s="49" t="inlineStr">
        <is>
          <t>OPEN</t>
        </is>
      </c>
      <c r="L52" s="41" t="n"/>
    </row>
    <row r="53" ht="69" customHeight="1">
      <c r="A53" s="42" t="inlineStr">
        <is>
          <t>SS-SC-09</t>
        </is>
      </c>
      <c r="B53" s="42" t="inlineStr">
        <is>
          <t>Spec #1 – Tìm kiếm ngôn ngữ tự nhiên (Must have)</t>
        </is>
      </c>
      <c r="C53" s="42" t="inlineStr">
        <is>
          <t>SS-TC-043</t>
        </is>
      </c>
      <c r="D53" s="42" t="inlineStr">
        <is>
          <t>Điều kiện chưa hỗ trợ không âm thầm làm rỗng kết quả</t>
        </is>
      </c>
      <c r="E53" s="42" t="inlineStr">
        <is>
          <t>Đăng nhập VMS (becamex). Mở trang Tìm kiếm thông minh.</t>
        </is>
      </c>
      <c r="F53" s="42" t="inlineStr">
        <is>
          <t>1. Tìm "người" → ghi nhận.
2. Tìm "người đàn ông".
3. Tìm "xe Toyota".</t>
        </is>
      </c>
      <c r="G53" s="42" t="inlineStr">
        <is>
          <t>người / người đàn ông / xe Toyota</t>
        </is>
      </c>
      <c r="H53" s="42" t="inlineStr">
        <is>
          <t>Điều kiện chưa hỗ trợ (gender, brand…) được báo rõ cho user ("Chưa hỗ trợ lọc theo …") thay vì âm thầm trả 0.</t>
        </is>
      </c>
      <c r="I53" s="46" t="inlineStr">
        <is>
          <t>"người" → 200 kết quả; "người đàn ông" → unsupported_filters=[gender] → 0; "xe Toyota" → [vehicle_brand] → 0. UI không hiển thị unsupported_filters → user tưởng không có dữ liệu.</t>
        </is>
      </c>
      <c r="J53" s="7" t="inlineStr">
        <is>
          <t>Chưa develop model hãng xe</t>
        </is>
      </c>
      <c r="K53" s="49" t="inlineStr">
        <is>
          <t>OPEN</t>
        </is>
      </c>
      <c r="L53" s="41" t="n"/>
    </row>
    <row r="54" ht="79.2" customHeight="1">
      <c r="A54" s="42" t="inlineStr">
        <is>
          <t>SS-SC-09</t>
        </is>
      </c>
      <c r="B54" s="42" t="inlineStr">
        <is>
          <t>Spec #1 – Tìm kiếm ngôn ngữ tự nhiên (Must have)</t>
        </is>
      </c>
      <c r="C54" s="42" t="inlineStr">
        <is>
          <t>SS-TC-044</t>
        </is>
      </c>
      <c r="D54" s="42" t="inlineStr">
        <is>
          <t>Gợi ý khi nhập từ khoá</t>
        </is>
      </c>
      <c r="E54" s="42" t="inlineStr">
        <is>
          <t>Đăng nhập VMS (becamex). Mở trang Tìm kiếm thông minh.</t>
        </is>
      </c>
      <c r="F54" s="42" t="inlineStr">
        <is>
          <t>1. Focus ô search.
2. Gõ "xe m".
3. Quan sát.</t>
        </is>
      </c>
      <c r="G54" s="42" t="inlineStr">
        <is>
          <t>xe m</t>
        </is>
      </c>
      <c r="H54" s="42" t="inlineStr">
        <is>
          <t>Hiển thị gợi ý (từ khoá / tìm gần đây / mẫu) như mockup (khối "Tìm kiếm gần đây" / "Gợi ý").</t>
        </is>
      </c>
      <c r="I54" s="46" t="inlineStr">
        <is>
          <t>Không có gợi ý khi gõ. Màn default không có khối gợi ý/tìm gần đây như mockup (lịch sử chỉ mở qua nút 1/10 sau khi đã tìm).</t>
        </is>
      </c>
      <c r="J54" s="7" t="inlineStr">
        <is>
          <t>Cần define rõ gợi ý theo kiểu gì</t>
        </is>
      </c>
      <c r="K54" s="50" t="inlineStr">
        <is>
          <t>NEED CONFIRM</t>
        </is>
      </c>
      <c r="L54" s="41" t="n"/>
      <c r="M54" s="5" t="inlineStr">
        <is>
          <t>Hiện tại thấy có phần danh sách tìm kiếm gần đây và đã lưu. Không có phần gợi ý trong wireframe. Chị cần ở màn hình search đầu tiên, cần show dạng list như demo</t>
        </is>
      </c>
    </row>
    <row r="55" ht="55.2" customHeight="1">
      <c r="A55" s="42" t="inlineStr">
        <is>
          <t>SS-SC-10</t>
        </is>
      </c>
      <c r="B55" s="42" t="inlineStr">
        <is>
          <t>Spec #2 – Advanced Search &amp; Filters (Must have)</t>
        </is>
      </c>
      <c r="C55" s="42" t="inlineStr">
        <is>
          <t>SS-TC-045</t>
        </is>
      </c>
      <c r="D55" s="42" t="inlineStr">
        <is>
          <t>Có bộ lọc nâng cao camera/đối tượng/thuộc tính/sự kiện</t>
        </is>
      </c>
      <c r="E55" s="42" t="inlineStr">
        <is>
          <t>Đăng nhập VMS (becamex). Mở trang Tìm kiếm thông minh.</t>
        </is>
      </c>
      <c r="F55" s="42" t="inlineStr">
        <is>
          <t>1. Mở trang.
2. Tìm bộ lọc nâng cao (panel trái như mockup).</t>
        </is>
      </c>
      <c r="G55" s="43" t="inlineStr">
        <is>
          <t>-</t>
        </is>
      </c>
      <c r="H55" s="42" t="inlineStr">
        <is>
          <t>Có bộ lọc: Camera, Thời gian, Đối tượng, Thuộc tính, Sự kiện.</t>
        </is>
      </c>
      <c r="I55" s="46" t="inlineStr">
        <is>
          <t>Chỉ có 3 bộ lọc: Chế độ tìm, Khoảng thời gian, Khung giờ. KHÔNG có Camera / Đối tượng / Thuộc tính / Sự kiện, không có panel trái như mockup.</t>
        </is>
      </c>
      <c r="J55" s="7" t="inlineStr">
        <is>
          <t>Chưa develop filter</t>
        </is>
      </c>
      <c r="K55" s="49" t="inlineStr">
        <is>
          <t>OPEN</t>
        </is>
      </c>
      <c r="L55" s="41" t="n"/>
    </row>
    <row r="56" ht="55.2" customHeight="1">
      <c r="A56" s="42" t="inlineStr">
        <is>
          <t>SS-SC-10</t>
        </is>
      </c>
      <c r="B56" s="42" t="inlineStr">
        <is>
          <t>Spec #2 – Advanced Search &amp; Filters (Must have)</t>
        </is>
      </c>
      <c r="C56" s="42" t="inlineStr">
        <is>
          <t>SS-TC-046</t>
        </is>
      </c>
      <c r="D56" s="42" t="inlineStr">
        <is>
          <t>Sửa/xoá điều kiện AI đã parse</t>
        </is>
      </c>
      <c r="E56" s="42" t="inlineStr">
        <is>
          <t>Đăng nhập VMS (becamex). Mở trang Tìm kiếm thông minh.</t>
        </is>
      </c>
      <c r="F56" s="42" t="inlineStr">
        <is>
          <t>1. Tìm "xe ô tô màu trắng biển số 51".
2. Click/hover chip "Màu: Trắng" trên dòng AI phân tích.</t>
        </is>
      </c>
      <c r="G56" s="42" t="inlineStr">
        <is>
          <t>xe ô tô màu trắng biển số 51</t>
        </is>
      </c>
      <c r="H56" s="42" t="inlineStr">
        <is>
          <t>Chip điều kiện sửa được giá trị / xoá (x) / thêm điều kiện mới rồi tìm lại.</t>
        </is>
      </c>
      <c r="I56" s="46" t="inlineStr">
        <is>
          <t>Chip "Đối tượng: Phương tiện | Loại xe: Ô tô | Màu: Trắng | Biển số: 51" là text tĩnh (không phải button), không sửa/xoá/thêm được.</t>
        </is>
      </c>
      <c r="J56" s="7" t="inlineStr">
        <is>
          <t>Cần define rõ có cho search dạng contains với biển số không</t>
        </is>
      </c>
      <c r="K56" s="50" t="inlineStr">
        <is>
          <t>NEED CONFIRM</t>
        </is>
      </c>
      <c r="L56" s="41" t="n"/>
      <c r="M56" t="inlineStr">
        <is>
          <t>Đã define</t>
        </is>
      </c>
    </row>
    <row r="57" ht="41.4" customHeight="1">
      <c r="A57" s="42" t="inlineStr">
        <is>
          <t>SS-SC-10</t>
        </is>
      </c>
      <c r="B57" s="42" t="inlineStr">
        <is>
          <t>Spec #2 – Advanced Search &amp; Filters (Must have)</t>
        </is>
      </c>
      <c r="C57" s="42" t="inlineStr">
        <is>
          <t>SS-TC-047</t>
        </is>
      </c>
      <c r="D57" s="42" t="inlineStr">
        <is>
          <t>Truy vấn OR giữ đúng logic</t>
        </is>
      </c>
      <c r="E57" s="42" t="inlineStr">
        <is>
          <t>Đăng nhập VMS (becamex). Mở trang Tìm kiếm thông minh.</t>
        </is>
      </c>
      <c r="F57" s="42" t="inlineStr">
        <is>
          <t>1. Tìm "xe tải hoặc xe máy".</t>
        </is>
      </c>
      <c r="G57" s="42" t="inlineStr">
        <is>
          <t>xe tải hoặc xe máy</t>
        </is>
      </c>
      <c r="H57" s="42" t="inlineStr">
        <is>
          <t>Điều kiện class ∈ {truck, motorbike}; kết quả chỉ gồm xe tải/xe máy.</t>
        </is>
      </c>
      <c r="I57" s="46" t="inlineStr">
        <is>
          <t>Parse thành object_filter {class: vehicle} (mất OR và loại xe) → 200 đoạn phương tiện bất kỳ (gồm ô tô). UI hiện "Đối tượng: Phương tiện".</t>
        </is>
      </c>
      <c r="J57" s="7" t="inlineStr">
        <is>
          <t>Chưa develop</t>
        </is>
      </c>
      <c r="K57" s="49" t="inlineStr">
        <is>
          <t>OPEN</t>
        </is>
      </c>
      <c r="L57" s="41" t="n"/>
    </row>
    <row r="58" ht="27.6" customHeight="1">
      <c r="A58" s="42" t="inlineStr">
        <is>
          <t>SS-SC-10</t>
        </is>
      </c>
      <c r="B58" s="42" t="inlineStr">
        <is>
          <t>Logic NL × Filter</t>
        </is>
      </c>
      <c r="C58" s="42" t="inlineStr">
        <is>
          <t>SS-TC-048</t>
        </is>
      </c>
      <c r="D58" s="42" t="inlineStr">
        <is>
          <t>Khung giờ user chọn ưu tiên hơn giờ parse từ NL</t>
        </is>
      </c>
      <c r="E58" s="42" t="inlineStr">
        <is>
          <t>Đăng nhập VMS (becamex). Mở trang Tìm kiếm thông minh.</t>
        </is>
      </c>
      <c r="F58" s="42" t="inlineStr">
        <is>
          <t>1. Chọn khung giờ 08:00–10:00.
2. Tìm "xe máy lúc 1h chiều".</t>
        </is>
      </c>
      <c r="G58" s="42" t="inlineStr">
        <is>
          <t>Filter 08–10h vs NL 13h</t>
        </is>
      </c>
      <c r="H58" s="42" t="inlineStr">
        <is>
          <t>Áp dụng 08:00–10:00 (Filter), không áp dụng đồng thời 13h.</t>
        </is>
      </c>
      <c r="I58" s="46" t="inlineStr">
        <is>
          <t>Request &amp; interpretation dùng 08:00–10:00; 200 kết quả, giờ 08–09. Không giao thêm 13h.</t>
        </is>
      </c>
      <c r="J58" s="7" t="n"/>
      <c r="K58" s="47" t="inlineStr">
        <is>
          <t>PASS</t>
        </is>
      </c>
      <c r="L58" s="41" t="n"/>
    </row>
    <row r="59" ht="69" customHeight="1">
      <c r="A59" s="42" t="inlineStr">
        <is>
          <t>SS-SC-10</t>
        </is>
      </c>
      <c r="B59" s="42" t="inlineStr">
        <is>
          <t>Logic NL × Filter</t>
        </is>
      </c>
      <c r="C59" s="42" t="inlineStr">
        <is>
          <t>SS-TC-049</t>
        </is>
      </c>
      <c r="D59" s="42" t="inlineStr">
        <is>
          <t>Ngày user chọn ưu tiên hơn ngày parse từ NL, không gây 0 kết quả</t>
        </is>
      </c>
      <c r="E59" s="42" t="inlineStr">
        <is>
          <t>Đăng nhập VMS (becamex). Mở trang Tìm kiếm thông minh.</t>
        </is>
      </c>
      <c r="F59" s="42" t="inlineStr">
        <is>
          <t>1. Chọn Từ 22/09 – Đến 23/09/2026.
2. Tìm "xe ô tô" → ghi nhận.
3. Tìm "xe ô tô ngày 24/9".</t>
        </is>
      </c>
      <c r="G59" s="42" t="inlineStr">
        <is>
          <t>Filter 22–23/09 vs NL 24/09</t>
        </is>
      </c>
      <c r="H59" s="42" t="inlineStr">
        <is>
          <t>Áp dụng 22–23/09 (Filter) → kết quả giống bước 2; không giao 2 khoảng ngày gây 0 kết quả.</t>
        </is>
      </c>
      <c r="I59" s="46" t="inlineStr">
        <is>
          <t>Bước 2: "xe ô tô" 22–23/09 → 200 kết quả. Bước 3: request vẫn gửi 22–23/09 nhưng trả 0 kết quả → backend đang giao thêm ngày 24/9 từ NL với filter (vi phạm Rule #3/#4). interpretation không trả thông tin ngày để user biết.</t>
        </is>
      </c>
      <c r="J59" s="7" t="inlineStr">
        <is>
          <t>Liên quan tới case filter thời gian -&gt; cần define rõ</t>
        </is>
      </c>
      <c r="K59" s="50" t="inlineStr">
        <is>
          <t>NEED CONFIRM</t>
        </is>
      </c>
      <c r="L59" s="41" t="n"/>
      <c r="M59" t="inlineStr">
        <is>
          <t>Đã define</t>
        </is>
      </c>
    </row>
    <row r="60" ht="55.2" customHeight="1">
      <c r="A60" s="42" t="inlineStr">
        <is>
          <t>SS-SC-10</t>
        </is>
      </c>
      <c r="B60" s="42" t="inlineStr">
        <is>
          <t>Logic NL × Filter</t>
        </is>
      </c>
      <c r="C60" s="42" t="inlineStr">
        <is>
          <t>SS-TC-050</t>
        </is>
      </c>
      <c r="D60" s="42" t="inlineStr">
        <is>
          <t>Hiển thị điều kiện cuối cùng sau merge/override</t>
        </is>
      </c>
      <c r="E60" s="42" t="inlineStr">
        <is>
          <t>Đăng nhập VMS (becamex). Mở trang Tìm kiếm thông minh.</t>
        </is>
      </c>
      <c r="F60" s="42" t="inlineStr">
        <is>
          <t>1. Như TC-048 và TC-049.
2. Quan sát dòng AI phân tích / thông báo.</t>
        </is>
      </c>
      <c r="G60" s="43" t="inlineStr">
        <is>
          <t>-</t>
        </is>
      </c>
      <c r="H60" s="42" t="inlineStr">
        <is>
          <t>Query Summary hiển thị Final Search Conditions (đối tượng + ngày + khung giờ), có thông báo khi Filter ghi đè giá trị từ NL.</t>
        </is>
      </c>
      <c r="I60" s="46" t="inlineStr">
        <is>
          <t>Dòng AI phân tích chỉ hiện đối tượng ("Xe máy", "Ô tô"); không hiện điều kiện thời gian cuối cùng, không có thông báo kiểu "đã dùng 08:00–10:00 thay cho 13h".</t>
        </is>
      </c>
      <c r="J60" s="7" t="inlineStr">
        <is>
          <t>Cần define rõ có cho search thời gian trên thanh input hay filter</t>
        </is>
      </c>
      <c r="K60" s="50" t="inlineStr">
        <is>
          <t>NEED CONFIRM</t>
        </is>
      </c>
      <c r="L60" s="41" t="n"/>
      <c r="M60" t="inlineStr">
        <is>
          <t>Đã define</t>
        </is>
      </c>
    </row>
    <row r="61" ht="27.6" customHeight="1">
      <c r="A61" s="42" t="inlineStr">
        <is>
          <t>SS-SC-10</t>
        </is>
      </c>
      <c r="B61" s="42" t="inlineStr">
        <is>
          <t>Logic NL × Filter</t>
        </is>
      </c>
      <c r="C61" s="42" t="inlineStr">
        <is>
          <t>SS-TC-051</t>
        </is>
      </c>
      <c r="D61" s="42" t="inlineStr">
        <is>
          <t>NL và Filter không conflict được gộp</t>
        </is>
      </c>
      <c r="E61" s="42" t="inlineStr">
        <is>
          <t>Đăng nhập VMS (becamex). Mở trang Tìm kiếm thông minh.</t>
        </is>
      </c>
      <c r="F61" s="42" t="inlineStr">
        <is>
          <t>1. Chọn khung giờ 13:00–14:00.
2. Tìm "xe máy".</t>
        </is>
      </c>
      <c r="G61" s="42" t="inlineStr">
        <is>
          <t>Filter giờ + NL đối tượng</t>
        </is>
      </c>
      <c r="H61" s="42" t="inlineStr">
        <is>
          <t>Final query = xe máy AND 13:00–14:00.</t>
        </is>
      </c>
      <c r="I61" s="46" t="inlineStr">
        <is>
          <t>Request: yoloe motorbike + time_of_day 13:00–14:00; 200 kết quả, 100% trong 13h.</t>
        </is>
      </c>
      <c r="J61" s="7" t="n"/>
      <c r="K61" s="47" t="inlineStr">
        <is>
          <t>PASS</t>
        </is>
      </c>
      <c r="L61" s="41" t="n"/>
    </row>
    <row r="62" ht="41.4" customHeight="1">
      <c r="A62" s="42" t="inlineStr">
        <is>
          <t>SS-SC-11</t>
        </is>
      </c>
      <c r="B62" s="42" t="inlineStr">
        <is>
          <t>Spec #3 – AI Object &amp; Attribute Search (Must have)</t>
        </is>
      </c>
      <c r="C62" s="42" t="inlineStr">
        <is>
          <t>SS-TC-052</t>
        </is>
      </c>
      <c r="D62" s="42" t="inlineStr">
        <is>
          <t>Tìm theo đối tượng (Người, Xe máy, Ô tô, Xe tải)</t>
        </is>
      </c>
      <c r="E62" s="42" t="inlineStr">
        <is>
          <t>Đăng nhập VMS (becamex). Mở trang Tìm kiếm thông minh.</t>
        </is>
      </c>
      <c r="F62" s="42" t="inlineStr">
        <is>
          <t>1. Tìm lần lượt "người", "xe máy", "xe ô tô", "xe tải".</t>
        </is>
      </c>
      <c r="G62" s="42" t="inlineStr">
        <is>
          <t>4 đối tượng</t>
        </is>
      </c>
      <c r="H62" s="42" t="inlineStr">
        <is>
          <t>Mỗi truy vấn trả kết quả chứa đối tượng tương ứng.</t>
        </is>
      </c>
      <c r="I62" s="46" t="inlineStr">
        <is>
          <t>Cả 4 đều parse đúng class và trả 200 kết quả.</t>
        </is>
      </c>
      <c r="J62" s="7" t="n"/>
      <c r="K62" s="47" t="inlineStr">
        <is>
          <t>PASS</t>
        </is>
      </c>
      <c r="L62" s="41" t="n"/>
    </row>
    <row r="63" ht="69" customHeight="1">
      <c r="A63" s="42" t="inlineStr">
        <is>
          <t>SS-SC-11</t>
        </is>
      </c>
      <c r="B63" s="42" t="inlineStr">
        <is>
          <t>Spec #3 – AI Object &amp; Attribute Search (Must have)</t>
        </is>
      </c>
      <c r="C63" s="42" t="inlineStr">
        <is>
          <t>SS-TC-053</t>
        </is>
      </c>
      <c r="D63" s="42" t="inlineStr">
        <is>
          <t>Tìm theo thuộc tính giới tính / màu áo / hãng xe</t>
        </is>
      </c>
      <c r="E63" s="42" t="inlineStr">
        <is>
          <t>Đăng nhập VMS (becamex). Mở trang Tìm kiếm thông minh.</t>
        </is>
      </c>
      <c r="F63" s="42" t="inlineStr">
        <is>
          <t>1. Tìm "người đàn ông", "người áo xanh đeo balo", "xe Toyota".</t>
        </is>
      </c>
      <c r="G63" s="43" t="inlineStr">
        <is>
          <t>-</t>
        </is>
      </c>
      <c r="H63" s="42" t="inlineStr">
        <is>
          <t>Trả kết quả theo thuộc tính nếu model hỗ trợ; nếu chưa hỗ trợ phải thông báo rõ (TC-043).</t>
        </is>
      </c>
      <c r="I63" s="46" t="inlineStr">
        <is>
          <t>gender, upper_color, vehicle_brand đều nằm trong unsupported_filters → 0 kết quả. Màu xe chỉ lọc được trên đối tượng biển số (xem TC-011). Cần PO xác nhận phạm vi thuộc tính của model hiện tại (mockup có Hãng/Model).</t>
        </is>
      </c>
      <c r="J63" s="7" t="inlineStr">
        <is>
          <t xml:space="preserve">Chưa define rõ các classes support/ chưa dev dưới AI </t>
        </is>
      </c>
      <c r="K63" s="50" t="inlineStr">
        <is>
          <t>NEED CONFIRM</t>
        </is>
      </c>
      <c r="M63" s="44" t="inlineStr">
        <is>
          <t xml:space="preserve">Define thêm phần nào em. Chỗ này trong attribute các đối tượng chị có define trong bộ filter </t>
        </is>
      </c>
    </row>
    <row r="64" ht="41.4" customHeight="1">
      <c r="A64" s="42" t="inlineStr">
        <is>
          <t>SS-SC-11</t>
        </is>
      </c>
      <c r="B64" s="42" t="inlineStr">
        <is>
          <t>Spec #3 – AI Object &amp; Attribute Search (Must have)</t>
        </is>
      </c>
      <c r="C64" s="42" t="inlineStr">
        <is>
          <t>SS-TC-054</t>
        </is>
      </c>
      <c r="D64" s="42" t="inlineStr">
        <is>
          <t>Tìm theo loại sự kiện</t>
        </is>
      </c>
      <c r="E64" s="42" t="inlineStr">
        <is>
          <t>Đăng nhập VMS (becamex). Mở trang Tìm kiếm thông minh.</t>
        </is>
      </c>
      <c r="F64" s="42" t="inlineStr">
        <is>
          <t>1. Tìm "xe vượt đèn đỏ".</t>
        </is>
      </c>
      <c r="G64" s="42" t="inlineStr">
        <is>
          <t>xe vượt đèn đỏ</t>
        </is>
      </c>
      <c r="H64" s="42" t="inlineStr">
        <is>
          <t>event_types chứa sự kiện vượt đèn đỏ; trả các đoạn có sự kiện.</t>
        </is>
      </c>
      <c r="I64" s="46" t="inlineStr">
        <is>
          <t>event_types=[], unsupported_filters=[object_relation] → 0 kết quả. UI không có bộ lọc sự kiện.</t>
        </is>
      </c>
      <c r="J64" s="7" t="inlineStr">
        <is>
          <t>Chưa dev trong sprint</t>
        </is>
      </c>
      <c r="K64" s="49" t="inlineStr">
        <is>
          <t>OPEN</t>
        </is>
      </c>
      <c r="L64" s="41" t="n"/>
    </row>
    <row r="65" ht="55.2" customHeight="1">
      <c r="A65" s="42" t="inlineStr">
        <is>
          <t>SS-SC-12</t>
        </is>
      </c>
      <c r="B65" s="42" t="inlineStr">
        <is>
          <t>Spec #4 – Multi-camera / Multi-site (Must have)</t>
        </is>
      </c>
      <c r="C65" s="42" t="inlineStr">
        <is>
          <t>SS-TC-055</t>
        </is>
      </c>
      <c r="D65" s="42" t="inlineStr">
        <is>
          <t>Chọn phạm vi camera</t>
        </is>
      </c>
      <c r="E65" s="42" t="inlineStr">
        <is>
          <t>Đăng nhập VMS (becamex). Mở trang Tìm kiếm thông minh.</t>
        </is>
      </c>
      <c r="F65" s="42" t="inlineStr">
        <is>
          <t>1. Tìm bộ chọn camera/nhóm/site trên UI.
2. Tìm "xe máy ở camera LH-LTT-HV_CAM-04".</t>
        </is>
      </c>
      <c r="G65" s="43" t="inlineStr">
        <is>
          <t>-</t>
        </is>
      </c>
      <c r="H65" s="42" t="inlineStr">
        <is>
          <t>Có bộ chọn phạm vi; hoặc NL nhận diện camera và giới hạn kết quả.</t>
        </is>
      </c>
      <c r="I65" s="46" t="inlineStr">
        <is>
          <t>UI không có bộ chọn camera/nhóm/site (luôn toàn hệ thống). NL "ở camera LH-LTT-HV_CAM-04" → unsupported_filters=[zone] → 0 kết quả.</t>
        </is>
      </c>
      <c r="J65" s="7" t="inlineStr">
        <is>
          <t xml:space="preserve">Chưa có phân tích field "phạm vi/vùng" trong camera </t>
        </is>
      </c>
      <c r="K65" s="50" t="inlineStr">
        <is>
          <t>NEED CONFIRM</t>
        </is>
      </c>
      <c r="M65" s="44" t="inlineStr">
        <is>
          <t>Hệ thống chưa có field này nên lưu case này khi nào hệ thống bổ sung field này sẽ check lại</t>
        </is>
      </c>
    </row>
    <row r="66" ht="27.6" customHeight="1">
      <c r="A66" s="42" t="inlineStr">
        <is>
          <t>SS-SC-12</t>
        </is>
      </c>
      <c r="B66" s="42" t="inlineStr">
        <is>
          <t>Spec #4 – Multi-camera / Multi-site (Must have)</t>
        </is>
      </c>
      <c r="C66" s="42" t="inlineStr">
        <is>
          <t>SS-TC-056</t>
        </is>
      </c>
      <c r="D66" s="42" t="inlineStr">
        <is>
          <t>Kết quả tổng hợp từ nhiều camera</t>
        </is>
      </c>
      <c r="E66" s="42" t="inlineStr">
        <is>
          <t>Đăng nhập VMS (becamex). Mở trang Tìm kiếm thông minh.</t>
        </is>
      </c>
      <c r="F66" s="42" t="inlineStr">
        <is>
          <t>1. Tìm "xe máy" (toàn hệ thống).</t>
        </is>
      </c>
      <c r="G66" s="42" t="inlineStr">
        <is>
          <t>xe máy</t>
        </is>
      </c>
      <c r="H66" s="42" t="inlineStr">
        <is>
          <t>Kết quả từ nhiều camera.</t>
        </is>
      </c>
      <c r="I66" s="46" t="inlineStr">
        <is>
          <t>Kết quả từ 8 camera: LH-LTT-DK_CAM-01..04, LH-LTT-HV_CAM-01..04.</t>
        </is>
      </c>
      <c r="J66" s="7" t="n"/>
      <c r="K66" s="47" t="inlineStr">
        <is>
          <t>PASS</t>
        </is>
      </c>
      <c r="L66" s="41" t="n"/>
    </row>
    <row r="67" ht="55.2" customHeight="1">
      <c r="A67" s="42" t="inlineStr">
        <is>
          <t>SS-SC-13</t>
        </is>
      </c>
      <c r="B67" s="42" t="inlineStr">
        <is>
          <t>Spec #5 – Search Results &amp; Refinement (Must have)</t>
        </is>
      </c>
      <c r="C67" s="42" t="inlineStr">
        <is>
          <t>SS-TC-057</t>
        </is>
      </c>
      <c r="D67" s="42" t="inlineStr">
        <is>
          <t>Sắp xếp kết quả</t>
        </is>
      </c>
      <c r="E67" s="42" t="inlineStr">
        <is>
          <t>Đăng nhập VMS (becamex). Mở trang Tìm kiếm thông minh.</t>
        </is>
      </c>
      <c r="F67" s="42" t="inlineStr">
        <is>
          <t>1. Tìm "xe máy".
2. Tìm control sort ở grid.
3. List view: click header "Thời gian ghi nhận".</t>
        </is>
      </c>
      <c r="G67" s="43" t="inlineStr">
        <is>
          <t>-</t>
        </is>
      </c>
      <c r="H67" s="42" t="inlineStr">
        <is>
          <t>Sort được theo thời gian và độ liên quan/confidence.</t>
        </is>
      </c>
      <c r="I67" s="46" t="inlineStr">
        <is>
          <t>Không có control sort. Click header list view không đổi thứ tự. Mặc định sắp theo độ liên quan giảm dần.</t>
        </is>
      </c>
      <c r="J67" s="7" t="inlineStr">
        <is>
          <t>Chưa có ascending filter theo thời gian</t>
        </is>
      </c>
      <c r="K67" s="48" t="inlineStr">
        <is>
          <t>FAIL</t>
        </is>
      </c>
      <c r="L67" s="41" t="n"/>
    </row>
    <row r="68" ht="41.4" customHeight="1">
      <c r="A68" s="42" t="inlineStr">
        <is>
          <t>SS-SC-13</t>
        </is>
      </c>
      <c r="B68" s="42" t="inlineStr">
        <is>
          <t>Spec #5 – Search Results &amp; Refinement (Must have)</t>
        </is>
      </c>
      <c r="C68" s="42" t="inlineStr">
        <is>
          <t>SS-TC-058</t>
        </is>
      </c>
      <c r="D68" s="42" t="inlineStr">
        <is>
          <t>Tiếp tục lọc trên tập kết quả</t>
        </is>
      </c>
      <c r="E68" s="42" t="inlineStr">
        <is>
          <t>Đăng nhập VMS (becamex). Mở trang Tìm kiếm thông minh.</t>
        </is>
      </c>
      <c r="F68" s="42" t="inlineStr">
        <is>
          <t>1. Tìm "xe máy".
2. Tìm bộ lọc trên tập kết quả (camera, thuộc tính…).</t>
        </is>
      </c>
      <c r="G68" s="43" t="inlineStr">
        <is>
          <t>-</t>
        </is>
      </c>
      <c r="H68" s="42" t="inlineStr">
        <is>
          <t>Có thể lọc tiếp trên tập kết quả hiện tại.</t>
        </is>
      </c>
      <c r="I68" s="46" t="inlineStr">
        <is>
          <t>Không có refine. Icon trong list view chỉ là "Cài đặt hiển thị" (ẩn/hiện cột).</t>
        </is>
      </c>
      <c r="J68" s="7" t="inlineStr">
        <is>
          <t>Filter bị nhảy UI</t>
        </is>
      </c>
      <c r="K68" s="48" t="inlineStr">
        <is>
          <t>FAIL</t>
        </is>
      </c>
      <c r="L68" s="44" t="inlineStr">
        <is>
          <t xml:space="preserve">kh hiển thị hết bảng mà chỉ hiển được  1 nửa </t>
        </is>
      </c>
    </row>
    <row r="69" ht="41.4" customHeight="1">
      <c r="A69" s="42" t="inlineStr">
        <is>
          <t>SS-SC-13</t>
        </is>
      </c>
      <c r="B69" s="42" t="inlineStr">
        <is>
          <t>Spec #5 – Search Results &amp; Refinement (Must have)</t>
        </is>
      </c>
      <c r="C69" s="42" t="inlineStr">
        <is>
          <t>SS-TC-059</t>
        </is>
      </c>
      <c r="D69" s="42" t="inlineStr">
        <is>
          <t>Grid &amp; Table có thumbnail, camera, thời gian, metadata AI</t>
        </is>
      </c>
      <c r="E69" s="42" t="inlineStr">
        <is>
          <t>Đăng nhập VMS (becamex). Mở trang Tìm kiếm thông minh.</t>
        </is>
      </c>
      <c r="F69" s="42" t="inlineStr">
        <is>
          <t>1. Tìm "xe máy".
2. Chuyển Grid / List.</t>
        </is>
      </c>
      <c r="G69" s="43" t="inlineStr">
        <is>
          <t>-</t>
        </is>
      </c>
      <c r="H69" s="42" t="inlineStr">
        <is>
          <t>Có 2 chế độ xem; đủ thumbnail, camera, thời gian, metadata AI, độ liên quan.</t>
        </is>
      </c>
      <c r="I69" s="46" t="inlineStr">
        <is>
          <t>Grid &amp; List đều đủ thông tin; List có thêm Địa điểm, Thuộc tính, Độ liên quan.</t>
        </is>
      </c>
      <c r="J69" s="7" t="n"/>
      <c r="K69" s="47" t="inlineStr">
        <is>
          <t>PASS</t>
        </is>
      </c>
      <c r="L69" s="41" t="n"/>
    </row>
    <row r="70" ht="55.2" customHeight="1">
      <c r="A70" s="42" t="inlineStr">
        <is>
          <t>SS-SC-13</t>
        </is>
      </c>
      <c r="B70" s="42" t="inlineStr">
        <is>
          <t>Lịch sử &amp; truy vấn đã lưu</t>
        </is>
      </c>
      <c r="C70" s="42" t="inlineStr">
        <is>
          <t>SS-TC-061</t>
        </is>
      </c>
      <c r="D70" s="42" t="inlineStr">
        <is>
          <t>Lịch sử tìm kiếm (10) và truy vấn đã lưu (20)</t>
        </is>
      </c>
      <c r="E70" s="42" t="inlineStr">
        <is>
          <t>Đăng nhập VMS (becamex). Mở trang Tìm kiếm thông minh.</t>
        </is>
      </c>
      <c r="F70" s="42" t="inlineStr">
        <is>
          <t>1. Tìm vài truy vấn.
2. Click 1/10.
3. Click 0/20.</t>
        </is>
      </c>
      <c r="G70" s="43" t="inlineStr">
        <is>
          <t>-</t>
        </is>
      </c>
      <c r="H70" s="42" t="inlineStr">
        <is>
          <t>Lịch sử lưu tối đa 10, xoá được; truy vấn đã lưu tối đa 20.</t>
        </is>
      </c>
      <c r="I70" s="46" t="inlineStr">
        <is>
          <t>Popup "TÌM KIẾM GẦN ĐÂY – Giữ tối đa 10 truy vấn…" có "Xoá tất cả"; "TRUY VẤN ĐÃ LƯU – Lưu tối đa 20…". Bộ đếm tăng 1/10 → 2/10 sau mỗi truy vấn.</t>
        </is>
      </c>
      <c r="J70" s="7" t="n"/>
      <c r="K70" s="47" t="inlineStr">
        <is>
          <t>PASS</t>
        </is>
      </c>
      <c r="L70" s="41" t="n"/>
    </row>
    <row r="71" ht="41.4" customHeight="1">
      <c r="A71" s="42" t="inlineStr">
        <is>
          <t>SS-SC-14</t>
        </is>
      </c>
      <c r="B71" s="42" t="inlineStr">
        <is>
          <t>Spec #6 – Video Investigation / Playback (Must have)</t>
        </is>
      </c>
      <c r="C71" s="42" t="inlineStr">
        <is>
          <t>SS-TC-062</t>
        </is>
      </c>
      <c r="D71" s="42" t="inlineStr">
        <is>
          <t>Timeline có event marker</t>
        </is>
      </c>
      <c r="E71" s="42" t="inlineStr">
        <is>
          <t>Đăng nhập VMS (becamex). Mở trang Tìm kiếm thông minh.</t>
        </is>
      </c>
      <c r="F71" s="42" t="inlineStr">
        <is>
          <t>1. Mở chi tiết đoạn video.
2. Quan sát thanh timeline.</t>
        </is>
      </c>
      <c r="G71" s="43" t="inlineStr">
        <is>
          <t>-</t>
        </is>
      </c>
      <c r="H71" s="42" t="inlineStr">
        <is>
          <t>Player có timeline với marker sự kiện trong khoảng 20-30s</t>
        </is>
      </c>
      <c r="I71" s="46" t="inlineStr">
        <is>
          <t>Player có timeline với marker sự kiện trong khoảng 20-30s</t>
        </is>
      </c>
      <c r="J71" s="7" t="n"/>
      <c r="K71" s="47" t="inlineStr">
        <is>
          <t>PASS</t>
        </is>
      </c>
      <c r="L71" s="41" t="n"/>
    </row>
    <row r="72" ht="41.4" customHeight="1">
      <c r="A72" s="42" t="inlineStr">
        <is>
          <t>SS-SC-14</t>
        </is>
      </c>
      <c r="B72" s="42" t="inlineStr">
        <is>
          <t>Spec #6 – Video Investigation / Playback (Must have)</t>
        </is>
      </c>
      <c r="C72" s="42" t="inlineStr">
        <is>
          <t>SS-TC-064</t>
        </is>
      </c>
      <c r="D72" s="42" t="inlineStr">
        <is>
          <t>Snapshot tải ảnh</t>
        </is>
      </c>
      <c r="E72" s="42" t="inlineStr">
        <is>
          <t>Đăng nhập VMS (becamex). Mở trang Tìm kiếm thông minh.</t>
        </is>
      </c>
      <c r="F72" s="42" t="inlineStr">
        <is>
          <t>1. Mở chi tiết.
2. Click Snapshot.</t>
        </is>
      </c>
      <c r="G72" s="42" t="inlineStr">
        <is>
          <t>LH-LTT-HV_CAM-04 24/09 13:15:01</t>
        </is>
      </c>
      <c r="H72" s="42" t="inlineStr">
        <is>
          <t>Tải về ảnh frame.</t>
        </is>
      </c>
      <c r="I72" s="46" t="inlineStr">
        <is>
          <t>Tải file LH-LTT-HV_CAM-04_20260924_131501.jpeg. (Player lỗi nên đây là ảnh ghi nhận, chưa phải frame đang phát.)</t>
        </is>
      </c>
      <c r="J72" s="7" t="n"/>
      <c r="K72" s="47" t="inlineStr">
        <is>
          <t>PASS</t>
        </is>
      </c>
      <c r="L72" s="41" t="n"/>
    </row>
    <row r="73" ht="41.4" customHeight="1">
      <c r="A73" s="42" t="inlineStr">
        <is>
          <t>SS-SC-14</t>
        </is>
      </c>
      <c r="B73" s="42" t="inlineStr">
        <is>
          <t>Spec #6 – Video Investigation / Playback (Must have)</t>
        </is>
      </c>
      <c r="C73" s="42" t="inlineStr">
        <is>
          <t>SS-TC-065</t>
        </is>
      </c>
      <c r="D73" s="42" t="inlineStr">
        <is>
          <t>Tải đoạn video chứa detection</t>
        </is>
      </c>
      <c r="E73" s="42" t="inlineStr">
        <is>
          <t>Đăng nhập VMS (becamex). Mở trang Tìm kiếm thông minh.</t>
        </is>
      </c>
      <c r="F73" s="42" t="inlineStr">
        <is>
          <t>1. Mở chi tiết.
2. Click Tải clip.</t>
        </is>
      </c>
      <c r="G73" s="43" t="inlineStr">
        <is>
          <t>-</t>
        </is>
      </c>
      <c r="H73" s="42" t="inlineStr">
        <is>
          <t>Tải file video đúng đoạn.</t>
        </is>
      </c>
      <c r="I73" s="46" t="inlineStr">
        <is>
          <t>Tải file recording_LH-LTT-HV_CAM-04_1790230501.mp4 (epoch khớp start 13:15:01).</t>
        </is>
      </c>
      <c r="J73" s="7" t="n"/>
      <c r="K73" s="47" t="inlineStr">
        <is>
          <t>PASS</t>
        </is>
      </c>
      <c r="L73" s="41" t="n"/>
    </row>
    <row r="74" ht="69" customHeight="1">
      <c r="A74" s="42" t="inlineStr">
        <is>
          <t>SS-SC-14</t>
        </is>
      </c>
      <c r="B74" s="42" t="inlineStr">
        <is>
          <t>Spec #6 – Video Investigation / Playback (Must have)</t>
        </is>
      </c>
      <c r="C74" s="42" t="inlineStr">
        <is>
          <t>SS-TC-066</t>
        </is>
      </c>
      <c r="D74" s="42" t="inlineStr">
        <is>
          <t>Mở form bookmark</t>
        </is>
      </c>
      <c r="E74" s="42" t="inlineStr">
        <is>
          <t>Đăng nhập VMS (becamex). Mở trang Tìm kiếm thông minh.</t>
        </is>
      </c>
      <c r="F74" s="42" t="inlineStr">
        <is>
          <t>1. Mở chi tiết.
2. Click Bookmark.</t>
        </is>
      </c>
      <c r="G74" s="43" t="inlineStr">
        <is>
          <t>-</t>
        </is>
      </c>
      <c r="H74" s="42" t="inlineStr">
        <is>
          <t>Mở form bookmark có tên/ghi chú.</t>
        </is>
      </c>
      <c r="I74" s="46" t="inlineStr">
        <is>
          <t>Dialog "Đánh dấu bookmark – LH-LTT-HV_CAM-04 • 24/09/2026 13:15:01": Tên bookmark (*), Ghi chú (tuỳ chọn), Hủy/Thêm. (Không bấm Thêm để tránh tạo dữ liệu trên hệ thống.)</t>
        </is>
      </c>
      <c r="J74" s="7" t="n"/>
      <c r="K74" s="47" t="inlineStr">
        <is>
          <t>PASS</t>
        </is>
      </c>
      <c r="L74" s="41" t="n"/>
    </row>
    <row r="75" ht="55.2" customHeight="1">
      <c r="A75" s="42" t="inlineStr">
        <is>
          <t>SS-SC-14</t>
        </is>
      </c>
      <c r="B75" s="42" t="inlineStr">
        <is>
          <t>Spec #6 – Video Investigation / Playback (Must have)</t>
        </is>
      </c>
      <c r="C75" s="42" t="inlineStr">
        <is>
          <t>SS-TC-067</t>
        </is>
      </c>
      <c r="D75" s="42" t="inlineStr">
        <is>
          <t>Chi tiết có Độ tin cậy &amp; Độ liên quan, chuyển Playback/Live view</t>
        </is>
      </c>
      <c r="E75" s="42" t="inlineStr">
        <is>
          <t>Đăng nhập VMS (becamex). Mở trang Tìm kiếm thông minh.</t>
        </is>
      </c>
      <c r="F75" s="42" t="inlineStr">
        <is>
          <t>1. Mở chi tiết.</t>
        </is>
      </c>
      <c r="G75" s="43" t="inlineStr">
        <is>
          <t>-</t>
        </is>
      </c>
      <c r="H75" s="42" t="inlineStr">
        <is>
          <t>Như mockup: header Camera + thời gian + X; "Chi tiết phát hiện" có Độ tin cậy và Độ liên quan; chuyển Playback/Live view.</t>
        </is>
      </c>
      <c r="I75" s="46" t="inlineStr">
        <is>
          <t>Chỉ có "Độ liên quan" (không có Độ tin cậy riêng dù API có confidence); không có chuyển Playback/Live view. Có thêm "Xem trên bản đồ".</t>
        </is>
      </c>
      <c r="J75" s="7" t="n"/>
      <c r="K75" s="50" t="inlineStr">
        <is>
          <t>NEED CONFIRM</t>
        </is>
      </c>
      <c r="L75" s="41" t="n"/>
      <c r="M75" s="5" t="inlineStr">
        <is>
          <t>Chưa có phân tích công thức confidence nên hiện tại ẩn</t>
        </is>
      </c>
    </row>
    <row r="76" ht="43.2" customHeight="1">
      <c r="A76" s="42" t="inlineStr">
        <is>
          <t>SS-SC-14</t>
        </is>
      </c>
      <c r="B76" s="42" t="inlineStr">
        <is>
          <t>Spec #6 – Video Investigation / Playback (Must have)</t>
        </is>
      </c>
      <c r="C76" s="42" t="inlineStr">
        <is>
          <t>SS-TC-068</t>
        </is>
      </c>
      <c r="D76" s="42" t="inlineStr">
        <is>
          <t>Hover thẻ có hành động nhanh</t>
        </is>
      </c>
      <c r="E76" s="42" t="inlineStr">
        <is>
          <t>Đăng nhập VMS (becamex). Mở trang Tìm kiếm thông minh.</t>
        </is>
      </c>
      <c r="F76" s="42" t="inlineStr">
        <is>
          <t>1. Hover 1 thẻ kết quả.</t>
        </is>
      </c>
      <c r="G76" s="43" t="inlineStr">
        <is>
          <t>-</t>
        </is>
      </c>
      <c r="H76" s="42" t="inlineStr">
        <is>
          <t>Như mockup: Tìm tương tự, Phóng to hình ảnh, Xem trực tiếp, Xem playback, Bookmark.</t>
        </is>
      </c>
      <c r="I76" s="46" t="inlineStr">
        <is>
          <t>Hover chỉ hiện "Xem trước"; không có Tìm tương tự / Xem trực tiếp / Xem playback / Bookmark trên thẻ.</t>
        </is>
      </c>
      <c r="J76" s="7" t="n"/>
      <c r="K76" s="50" t="inlineStr">
        <is>
          <t>NEED CONFIRM</t>
        </is>
      </c>
      <c r="M76" s="7" t="inlineStr">
        <is>
          <t xml:space="preserve">Đúng theo wireframe rồi. Bản demo có nhiều tính năng dư thừa không làm </t>
        </is>
      </c>
    </row>
    <row r="77" ht="17.4" customHeight="1">
      <c r="A77" s="53" t="n"/>
    </row>
    <row r="78" ht="17.4" customHeight="1">
      <c r="A78" s="53" t="n"/>
    </row>
    <row r="79" ht="17.4" customHeight="1">
      <c r="A79" s="53" t="n"/>
    </row>
    <row r="80" ht="17.4" customHeight="1">
      <c r="A80" s="53" t="n"/>
    </row>
    <row r="81" ht="17.4" customHeight="1">
      <c r="A81" s="53" t="n"/>
    </row>
    <row r="82" ht="17.4" customHeight="1">
      <c r="A82" s="53" t="n"/>
    </row>
    <row r="83" ht="17.4" customHeight="1">
      <c r="A83" s="53" t="n"/>
    </row>
    <row r="84" ht="17.4" customHeight="1">
      <c r="A84" s="53" t="n"/>
    </row>
    <row r="85" ht="17.4" customHeight="1">
      <c r="A85" s="53" t="n"/>
    </row>
    <row r="86" ht="17.4" customHeight="1">
      <c r="A86" s="53" t="n"/>
    </row>
    <row r="87" ht="17.4" customHeight="1">
      <c r="A87" s="53" t="n"/>
    </row>
    <row r="88" ht="17.4" customHeight="1">
      <c r="A88" s="53" t="n"/>
    </row>
    <row r="89" ht="17.4" customHeight="1">
      <c r="A89" s="53" t="n"/>
    </row>
    <row r="90" ht="17.4" customHeight="1">
      <c r="A90" s="53" t="n"/>
    </row>
    <row r="91" ht="17.4" customHeight="1">
      <c r="A91" s="53" t="n"/>
    </row>
    <row r="92" ht="17.4" customHeight="1">
      <c r="A92" s="53" t="n"/>
    </row>
    <row r="93" ht="17.4" customHeight="1">
      <c r="A93" s="53" t="n"/>
    </row>
    <row r="94" ht="17.4" customHeight="1">
      <c r="A94" s="53" t="n"/>
    </row>
    <row r="95" ht="17.4" customHeight="1">
      <c r="A95" s="53" t="n"/>
    </row>
    <row r="96" ht="17.4" customHeight="1">
      <c r="A96" s="53" t="n"/>
    </row>
    <row r="97" ht="17.4" customHeight="1">
      <c r="A97" s="53" t="n"/>
    </row>
    <row r="98" ht="17.4" customHeight="1">
      <c r="A98" s="53" t="n"/>
    </row>
    <row r="99" ht="17.4" customHeight="1">
      <c r="A99" s="53" t="n"/>
    </row>
    <row r="100" ht="17.4" customHeight="1">
      <c r="A100" s="53" t="n"/>
    </row>
    <row r="101" ht="17.4" customHeight="1">
      <c r="A101" s="53" t="n"/>
    </row>
    <row r="102" ht="17.4" customHeight="1">
      <c r="A102" s="53" t="n"/>
    </row>
    <row r="103" ht="17.4" customHeight="1">
      <c r="A103" s="53" t="n"/>
    </row>
    <row r="104" ht="17.4" customHeight="1">
      <c r="A104" s="53" t="n"/>
    </row>
    <row r="105" ht="17.4" customHeight="1">
      <c r="A105" s="53" t="n"/>
    </row>
    <row r="106" ht="17.4" customHeight="1">
      <c r="A106" s="53" t="n"/>
    </row>
    <row r="107" ht="17.4" customHeight="1">
      <c r="A107" s="53" t="n"/>
    </row>
    <row r="108" ht="17.4" customHeight="1">
      <c r="A108" s="53" t="n"/>
    </row>
    <row r="109" ht="17.4" customHeight="1">
      <c r="A109" s="53" t="n"/>
    </row>
    <row r="110" ht="17.4" customHeight="1">
      <c r="A110" s="53" t="n"/>
    </row>
    <row r="111" ht="17.4" customHeight="1">
      <c r="A111" s="53" t="n"/>
    </row>
  </sheetData>
  <mergeCells count="12">
    <mergeCell ref="B4:F4"/>
    <mergeCell ref="A8:A9"/>
    <mergeCell ref="B7:F7"/>
    <mergeCell ref="B6:F6"/>
    <mergeCell ref="B2:F2"/>
    <mergeCell ref="B3:F3"/>
    <mergeCell ref="B5:F5"/>
    <mergeCell ref="B1:F1"/>
    <mergeCell ref="C9:D9"/>
    <mergeCell ref="E9:F9"/>
    <mergeCell ref="E8:F8"/>
    <mergeCell ref="C8:D8"/>
  </mergeCells>
  <conditionalFormatting sqref="I1">
    <cfRule type="containsText" priority="1" operator="containsText" dxfId="2" text="Pass">
      <formula>NOT(ISERROR(SEARCH(("Pass"),(I1))))</formula>
    </cfRule>
    <cfRule type="containsText" priority="2" operator="containsText" dxfId="1" text="Fail">
      <formula>NOT(ISERROR(SEARCH(("Fail"),(I1))))</formula>
    </cfRule>
    <cfRule type="containsText" priority="3" operator="containsText" dxfId="0" text="Not run">
      <formula>NOT(ISERROR(SEARCH(("Not run"),(I1))))</formula>
    </cfRule>
  </conditionalFormatting>
  <conditionalFormatting sqref="K12:K14">
    <cfRule type="containsText" priority="41" operator="containsText" dxfId="4" text="FAIL">
      <formula>NOT(ISERROR(SEARCH("FAIL",K12)))</formula>
    </cfRule>
    <cfRule type="containsText" priority="40" operator="containsText" dxfId="5" text="OPEN/PENDING">
      <formula>NOT(ISERROR(SEARCH("OPEN/PENDING",K12)))</formula>
    </cfRule>
    <cfRule type="containsText" priority="42" operator="containsText" dxfId="3" text="PASS">
      <formula>NOT(ISERROR(SEARCH("PASS",K12)))</formula>
    </cfRule>
  </conditionalFormatting>
  <conditionalFormatting sqref="K17:K18">
    <cfRule type="containsText" priority="36" operator="containsText" dxfId="3" text="PASS">
      <formula>NOT(ISERROR(SEARCH("PASS",K17)))</formula>
    </cfRule>
    <cfRule type="containsText" priority="35" operator="containsText" dxfId="4" text="FAIL">
      <formula>NOT(ISERROR(SEARCH("FAIL",K17)))</formula>
    </cfRule>
    <cfRule type="containsText" priority="34" operator="containsText" dxfId="5" text="OPEN/PENDING">
      <formula>NOT(ISERROR(SEARCH("OPEN/PENDING",K17)))</formula>
    </cfRule>
  </conditionalFormatting>
  <conditionalFormatting sqref="K21">
    <cfRule type="containsText" priority="32" operator="containsText" dxfId="4" text="FAIL">
      <formula>NOT(ISERROR(SEARCH("FAIL",K21)))</formula>
    </cfRule>
    <cfRule type="containsText" priority="33" operator="containsText" dxfId="3" text="PASS">
      <formula>NOT(ISERROR(SEARCH("PASS",K21)))</formula>
    </cfRule>
    <cfRule type="containsText" priority="31" operator="containsText" dxfId="5" text="OPEN/PENDING">
      <formula>NOT(ISERROR(SEARCH("OPEN/PENDING",K21)))</formula>
    </cfRule>
  </conditionalFormatting>
  <conditionalFormatting sqref="K23:K30">
    <cfRule type="containsText" priority="28" operator="containsText" dxfId="5" text="OPEN/PENDING">
      <formula>NOT(ISERROR(SEARCH("OPEN/PENDING",K23)))</formula>
    </cfRule>
    <cfRule type="containsText" priority="30" operator="containsText" dxfId="3" text="PASS">
      <formula>NOT(ISERROR(SEARCH("PASS",K23)))</formula>
    </cfRule>
    <cfRule type="containsText" priority="29" operator="containsText" dxfId="4" text="FAIL">
      <formula>NOT(ISERROR(SEARCH("FAIL",K23)))</formula>
    </cfRule>
  </conditionalFormatting>
  <conditionalFormatting sqref="K36:K38">
    <cfRule type="containsText" priority="26" operator="containsText" dxfId="4" text="FAIL">
      <formula>NOT(ISERROR(SEARCH("FAIL",K36)))</formula>
    </cfRule>
    <cfRule type="containsText" priority="25" operator="containsText" dxfId="5" text="OPEN/PENDING">
      <formula>NOT(ISERROR(SEARCH("OPEN/PENDING",K36)))</formula>
    </cfRule>
    <cfRule type="containsText" priority="27" operator="containsText" dxfId="3" text="PASS">
      <formula>NOT(ISERROR(SEARCH("PASS",K36)))</formula>
    </cfRule>
  </conditionalFormatting>
  <conditionalFormatting sqref="K40:K43">
    <cfRule type="containsText" priority="22" operator="containsText" dxfId="5" text="OPEN/PENDING">
      <formula>NOT(ISERROR(SEARCH("OPEN/PENDING",K40)))</formula>
    </cfRule>
    <cfRule type="containsText" priority="23" operator="containsText" dxfId="4" text="FAIL">
      <formula>NOT(ISERROR(SEARCH("FAIL",K40)))</formula>
    </cfRule>
    <cfRule type="containsText" priority="24" operator="containsText" dxfId="3" text="PASS">
      <formula>NOT(ISERROR(SEARCH("PASS",K40)))</formula>
    </cfRule>
  </conditionalFormatting>
  <conditionalFormatting sqref="K45:K51">
    <cfRule type="containsText" priority="21" operator="containsText" dxfId="3" text="PASS">
      <formula>NOT(ISERROR(SEARCH("PASS",K45)))</formula>
    </cfRule>
    <cfRule type="containsText" priority="20" operator="containsText" dxfId="4" text="FAIL">
      <formula>NOT(ISERROR(SEARCH("FAIL",K45)))</formula>
    </cfRule>
    <cfRule type="containsText" priority="19" operator="containsText" dxfId="5" text="OPEN/PENDING">
      <formula>NOT(ISERROR(SEARCH("OPEN/PENDING",K45)))</formula>
    </cfRule>
  </conditionalFormatting>
  <conditionalFormatting sqref="K58">
    <cfRule type="containsText" priority="17" operator="containsText" dxfId="4" text="FAIL">
      <formula>NOT(ISERROR(SEARCH("FAIL",K58)))</formula>
    </cfRule>
    <cfRule type="containsText" priority="18" operator="containsText" dxfId="3" text="PASS">
      <formula>NOT(ISERROR(SEARCH("PASS",K58)))</formula>
    </cfRule>
    <cfRule type="containsText" priority="16" operator="containsText" dxfId="5" text="OPEN/PENDING">
      <formula>NOT(ISERROR(SEARCH("OPEN/PENDING",K58)))</formula>
    </cfRule>
  </conditionalFormatting>
  <conditionalFormatting sqref="K61:K62">
    <cfRule type="containsText" priority="12" operator="containsText" dxfId="3" text="PASS">
      <formula>NOT(ISERROR(SEARCH("PASS",K61)))</formula>
    </cfRule>
    <cfRule type="containsText" priority="10" operator="containsText" dxfId="5" text="OPEN/PENDING">
      <formula>NOT(ISERROR(SEARCH("OPEN/PENDING",K61)))</formula>
    </cfRule>
    <cfRule type="containsText" priority="11" operator="containsText" dxfId="4" text="FAIL">
      <formula>NOT(ISERROR(SEARCH("FAIL",K61)))</formula>
    </cfRule>
  </conditionalFormatting>
  <conditionalFormatting sqref="K66">
    <cfRule type="containsText" priority="7" operator="containsText" dxfId="5" text="OPEN/PENDING">
      <formula>NOT(ISERROR(SEARCH("OPEN/PENDING",K66)))</formula>
    </cfRule>
    <cfRule type="containsText" priority="9" operator="containsText" dxfId="3" text="PASS">
      <formula>NOT(ISERROR(SEARCH("PASS",K66)))</formula>
    </cfRule>
    <cfRule type="containsText" priority="8" operator="containsText" dxfId="4" text="FAIL">
      <formula>NOT(ISERROR(SEARCH("FAIL",K66)))</formula>
    </cfRule>
  </conditionalFormatting>
  <conditionalFormatting sqref="K69:K74">
    <cfRule type="containsText" priority="4" operator="containsText" dxfId="5" text="OPEN/PENDING">
      <formula>NOT(ISERROR(SEARCH("OPEN/PENDING",K69)))</formula>
    </cfRule>
    <cfRule type="containsText" priority="5" operator="containsText" dxfId="4" text="FAIL">
      <formula>NOT(ISERROR(SEARCH("FAIL",K69)))</formula>
    </cfRule>
    <cfRule type="containsText" priority="6" operator="containsText" dxfId="3" text="PASS">
      <formula>NOT(ISERROR(SEARCH("PASS",K69)))</formula>
    </cfRule>
  </conditionalFormatting>
  <hyperlinks>
    <hyperlink xmlns:r="http://schemas.openxmlformats.org/officeDocument/2006/relationships" ref="B3" r:id="rId1"/>
  </hyperlinks>
  <pageMargins left="0.7" right="0.7" top="0.75" bottom="0.75" header="0.3" footer="0.3"/>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N101"/>
  <sheetViews>
    <sheetView tabSelected="1" topLeftCell="A38" workbookViewId="0">
      <selection activeCell="D40" sqref="D40"/>
    </sheetView>
  </sheetViews>
  <sheetFormatPr baseColWidth="8" defaultRowHeight="13.2"/>
  <cols>
    <col width="36.44140625" customWidth="1" min="1" max="1"/>
    <col width="23.109375" customWidth="1" min="2" max="2"/>
    <col width="26" customWidth="1" min="3" max="3"/>
    <col width="38.5546875" customWidth="1" min="4" max="4"/>
    <col width="29.33203125" customWidth="1" min="5" max="5"/>
    <col width="32.109375" customWidth="1" min="6" max="6"/>
    <col width="44" customWidth="1" min="7" max="7"/>
    <col width="32.5546875" customWidth="1" min="8" max="8"/>
    <col width="42.88671875" customWidth="1" min="9" max="9"/>
    <col width="65.109375" customWidth="1" style="12" min="10" max="10"/>
    <col width="20.33203125" customWidth="1" min="11" max="11"/>
    <col width="29.44140625" customWidth="1" style="37" min="12" max="12"/>
    <col width="30.109375" customWidth="1" min="13" max="13"/>
    <col width="47.44140625" customWidth="1" style="5" min="14" max="14"/>
  </cols>
  <sheetData>
    <row r="1" ht="33.6" customHeight="1">
      <c r="A1" s="55" t="inlineStr">
        <is>
          <t>Tên dự án (Project's Name):</t>
        </is>
      </c>
      <c r="B1" s="100" t="inlineStr">
        <is>
          <t>Hệ thống camera VMS</t>
        </is>
      </c>
      <c r="C1" s="101" t="n"/>
      <c r="D1" s="101" t="n"/>
      <c r="E1" s="101" t="n"/>
      <c r="F1" s="41" t="n"/>
      <c r="I1" s="23" t="inlineStr">
        <is>
          <t>Version</t>
        </is>
      </c>
      <c r="J1" s="23" t="inlineStr">
        <is>
          <t>Ngày</t>
        </is>
      </c>
      <c r="K1" s="23" t="inlineStr">
        <is>
          <t>Tên người chỉnh sửa</t>
        </is>
      </c>
      <c r="L1" s="23" t="inlineStr">
        <is>
          <t>Nội dung chỉnh sửa</t>
        </is>
      </c>
    </row>
    <row r="2" ht="27.6" customHeight="1">
      <c r="A2" s="56" t="inlineStr">
        <is>
          <t>Tên module (Module's Name):</t>
        </is>
      </c>
      <c r="B2" s="100" t="inlineStr">
        <is>
          <t>Smart Search ver2</t>
        </is>
      </c>
      <c r="C2" s="101" t="n"/>
      <c r="D2" s="101" t="n"/>
      <c r="E2" s="101" t="n"/>
      <c r="F2" s="41" t="n"/>
      <c r="I2" s="36" t="inlineStr">
        <is>
          <t>v2.7.0</t>
        </is>
      </c>
      <c r="J2" s="24" t="n">
        <v>46183</v>
      </c>
      <c r="K2" s="11" t="inlineStr">
        <is>
          <t>Nguyễn Thị Minh Tâm</t>
        </is>
      </c>
      <c r="L2" s="11" t="inlineStr">
        <is>
          <t>Khởi tạo và test tìm kiếm theo metadata</t>
        </is>
      </c>
    </row>
    <row r="3" ht="27.6" customHeight="1">
      <c r="A3" s="57" t="inlineStr">
        <is>
          <t>Tài liệu (Reference Document):</t>
        </is>
      </c>
      <c r="B3" s="102" t="inlineStr">
        <is>
          <t>Document</t>
        </is>
      </c>
      <c r="C3" s="101" t="n"/>
      <c r="D3" s="101" t="n"/>
      <c r="E3" s="101" t="n"/>
      <c r="F3" s="41" t="n"/>
      <c r="I3" s="36" t="n"/>
      <c r="J3" s="24" t="n">
        <v>46244</v>
      </c>
      <c r="K3" s="11" t="inlineStr">
        <is>
          <t>Nguyễn Thị Minh Tâm</t>
        </is>
      </c>
      <c r="L3" s="11" t="inlineStr">
        <is>
          <t>Khởi tạo và test tìm kiếm theo fitter</t>
        </is>
      </c>
    </row>
    <row r="4" ht="16.8" customHeight="1">
      <c r="A4" s="18" t="inlineStr">
        <is>
          <t>Người tạo (Author):</t>
        </is>
      </c>
      <c r="B4" s="21" t="inlineStr">
        <is>
          <t>Hoàng Hồng Vân, Nguyễn Thị Minh Tâm</t>
        </is>
      </c>
      <c r="C4" s="101" t="n"/>
      <c r="D4" s="101" t="n"/>
      <c r="E4" s="101" t="n"/>
      <c r="F4" s="41" t="n"/>
      <c r="K4" s="27" t="n"/>
    </row>
    <row r="5" ht="16.8" customHeight="1">
      <c r="A5" s="57" t="inlineStr">
        <is>
          <t>Ngày tạo (Creation Date):</t>
        </is>
      </c>
      <c r="B5" s="103" t="n">
        <v>46090</v>
      </c>
      <c r="C5" s="101" t="n"/>
      <c r="D5" s="101" t="n"/>
      <c r="E5" s="101" t="n"/>
      <c r="F5" s="41" t="n"/>
      <c r="K5" s="27" t="n"/>
    </row>
    <row r="6" ht="16.8" customHeight="1">
      <c r="A6" s="58" t="inlineStr">
        <is>
          <t>Người review (Reviewer):</t>
        </is>
      </c>
      <c r="B6" s="21" t="n"/>
      <c r="C6" s="101" t="n"/>
      <c r="D6" s="101" t="n"/>
      <c r="E6" s="101" t="n"/>
      <c r="F6" s="41" t="n"/>
      <c r="K6" s="27" t="n"/>
    </row>
    <row r="7" ht="16.8" customHeight="1">
      <c r="A7" s="58" t="inlineStr">
        <is>
          <t>Phiên bản (Version):</t>
        </is>
      </c>
      <c r="B7" s="104" t="inlineStr">
        <is>
          <t>v2.7.0-Dev</t>
        </is>
      </c>
      <c r="C7" s="105" t="n"/>
      <c r="D7" s="105" t="n"/>
      <c r="E7" s="105" t="n"/>
      <c r="F7" s="106" t="n"/>
      <c r="K7" s="27" t="n"/>
    </row>
    <row r="8" ht="33.6" customHeight="1">
      <c r="A8" s="90" t="inlineStr">
        <is>
          <t>Kết quả (Results):</t>
        </is>
      </c>
      <c r="B8" s="21" t="inlineStr">
        <is>
          <t>Tổng số case
 (Total)</t>
        </is>
      </c>
      <c r="C8" s="107" t="inlineStr">
        <is>
          <t>Pass</t>
        </is>
      </c>
      <c r="D8" s="41" t="n"/>
      <c r="E8" s="108" t="inlineStr">
        <is>
          <t>Fail</t>
        </is>
      </c>
      <c r="F8" s="41" t="n"/>
      <c r="K8" s="27" t="n"/>
    </row>
    <row r="9" ht="16.8" customHeight="1">
      <c r="A9" s="109" t="n"/>
      <c r="B9" s="21">
        <f>SUM(C9+ E9)</f>
        <v/>
      </c>
      <c r="C9" s="21">
        <f>COUNTIF(L:L,"Pass")</f>
        <v/>
      </c>
      <c r="D9" s="41" t="n"/>
      <c r="E9" s="21">
        <f>COUNTIF(L:L,"Fail")</f>
        <v/>
      </c>
      <c r="F9" s="41" t="n"/>
      <c r="K9" s="27" t="n"/>
    </row>
    <row r="10">
      <c r="K10" s="27" t="n"/>
    </row>
    <row r="11" ht="67.2" customHeight="1">
      <c r="A11" s="90" t="inlineStr">
        <is>
          <t>Test Scenario ID
(ID Kịch bản kiểm thử)</t>
        </is>
      </c>
      <c r="B11" s="90" t="inlineStr">
        <is>
          <t>Test Scenario Description
(Mô tả kịch bản kiểm thử)</t>
        </is>
      </c>
      <c r="C11" s="90" t="inlineStr">
        <is>
          <t>Test Case ID
(ID trường hợp kiểm thử)</t>
        </is>
      </c>
      <c r="D11" s="90" t="inlineStr">
        <is>
          <t>Feedback liên quan</t>
        </is>
      </c>
      <c r="E11" s="90" t="inlineStr">
        <is>
          <t>Test Case Description
(Mô tả trường hợp kiểm thử)</t>
        </is>
      </c>
      <c r="F11" s="90" t="inlineStr">
        <is>
          <t>Pre-Conditions
(Điều kiện tiên quyết)</t>
        </is>
      </c>
      <c r="G11" s="90" t="inlineStr">
        <is>
          <t>Test Step
(Các bước thực hiện)</t>
        </is>
      </c>
      <c r="H11" s="90" t="inlineStr">
        <is>
          <t>Test Data
(Dữ liệu kiểm thử)</t>
        </is>
      </c>
      <c r="I11" s="90" t="inlineStr">
        <is>
          <t>Expected Response
(Kết quả mong đợi)</t>
        </is>
      </c>
      <c r="J11" s="90" t="inlineStr">
        <is>
          <t>Actual Response
(Kết quả thực tế)</t>
        </is>
      </c>
      <c r="K11" s="90" t="inlineStr">
        <is>
          <t>Testcase Types</t>
        </is>
      </c>
      <c r="L11" s="90" t="inlineStr">
        <is>
          <t>Status
(Trạng thái)</t>
        </is>
      </c>
      <c r="M11" s="90" t="inlineStr">
        <is>
          <t>Dev note</t>
        </is>
      </c>
      <c r="N11" s="90" t="inlineStr">
        <is>
          <t>Run date</t>
        </is>
      </c>
    </row>
    <row r="12" ht="16.5" customHeight="1">
      <c r="A12" s="86" t="inlineStr">
        <is>
          <t xml:space="preserve">Tìm kiếm theo metadata </t>
        </is>
      </c>
      <c r="N12" s="52" t="n"/>
    </row>
    <row r="13" ht="138" customHeight="1">
      <c r="A13" s="61" t="inlineStr">
        <is>
          <t>SS-MD-SC-01</t>
        </is>
      </c>
      <c r="B13" s="61" t="inlineStr">
        <is>
          <t>Tìm kiếm metadata – Loại xe</t>
        </is>
      </c>
      <c r="C13" s="61" t="inlineStr">
        <is>
          <t>SS-MD-001</t>
        </is>
      </c>
      <c r="D13" s="61" t="inlineStr">
        <is>
          <t>Hoàn thiện tìm kiếm theo metadata
Spec: Feature #3 AI Object Search</t>
        </is>
      </c>
      <c r="E13" s="61" t="inlineStr">
        <is>
          <t>Tìm "xe ô tô"</t>
        </is>
      </c>
      <c r="F13" s="61" t="inlineStr">
        <is>
          <t>Đăng nhập VMS (becamex). Trang Smart Search, chế độ Precision, khoảng thời gian 7 ngày. Hệ thống có dữ liệu AI metadata trong 7 ngày.</t>
        </is>
      </c>
      <c r="G13" s="61" t="inlineStr">
        <is>
          <t>1. Nhập "xe ô tô" vào ô tìm kiếm.
2. Bấm Tìm kiếm.
3. Bắt response POST http://180.148.1.242:8001/api/smart_search (08/10; ngày 06/10 là /api/smart_search/v2).
4. Đối chiếu interpretation, objects/event_type/camera từng item và card trên UI.</t>
        </is>
      </c>
      <c r="H13" s="61" t="inlineStr">
        <is>
          <t>xe ô tô</t>
        </is>
      </c>
      <c r="I13" s="61" t="inlineStr">
        <is>
          <t>AI bóc tách: phương tiện + ô tô.
Mọi kết quả đều có ≥1 object thoả ĐỦ điều kiện trên cùng object.
UI hiển thị số card, thumbnail, thời gian khớp response API.</t>
        </is>
      </c>
      <c r="J13" s="61" t="inlineStr">
        <is>
          <t>[Retest 21/10/2026 – build 2.8.0] HTTP 200, tìm "xe ô tô", metadata interpretation bóc tách đúng kind: vehicle, type: car. Danh sách kết quả hiển thị đủ video và cards.</t>
        </is>
      </c>
      <c r="K13" s="61" t="inlineStr">
        <is>
          <t>Functional/API</t>
        </is>
      </c>
      <c r="L13" s="59" t="inlineStr">
        <is>
          <t>Pass</t>
        </is>
      </c>
      <c r="M13" s="61" t="n"/>
      <c r="N13" t="inlineStr">
        <is>
          <t>21/10/2026</t>
        </is>
      </c>
    </row>
    <row r="14" ht="126" customHeight="1">
      <c r="A14" s="61" t="inlineStr">
        <is>
          <t>SS-MD-SC-01</t>
        </is>
      </c>
      <c r="B14" s="61" t="inlineStr">
        <is>
          <t>Tìm kiếm metadata – Loại xe</t>
        </is>
      </c>
      <c r="C14" s="61" t="inlineStr">
        <is>
          <t>SS-MD-002</t>
        </is>
      </c>
      <c r="D14" s="61" t="inlineStr">
        <is>
          <t>Hoàn thiện tìm kiếm theo metadata
Spec: Feature #3 AI Object Search</t>
        </is>
      </c>
      <c r="E14" s="61" t="inlineStr">
        <is>
          <t>Tìm "xe máy"</t>
        </is>
      </c>
      <c r="F14" s="61" t="inlineStr">
        <is>
          <t>Đăng nhập VMS (becamex). Trang Smart Search, chế độ Precision, khoảng thời gian 7 ngày. Hệ thống có dữ liệu AI metadata trong 7 ngày.</t>
        </is>
      </c>
      <c r="G14" s="61" t="inlineStr">
        <is>
          <t>1. Nhập "xe máy" vào ô tìm kiếm.
2. Bấm Tìm kiếm.
3. Bắt response POST http://180.148.1.242:8001/api/smart_search (08/10; ngày 06/10 là /api/smart_search/v2).
4. Đối chiếu interpretation, objects/event_type/camera từng item và card trên UI.</t>
        </is>
      </c>
      <c r="H14" s="61" t="inlineStr">
        <is>
          <t>xe máy</t>
        </is>
      </c>
      <c r="I14" s="61" t="inlineStr">
        <is>
          <t>AI bóc tách: phương tiện + xe máy.
Mọi kết quả đều có ≥1 object thoả ĐỦ điều kiện trên cùng object.
UI hiển thị số card, thumbnail, thời gian khớp response API.</t>
        </is>
      </c>
      <c r="J14" s="61" t="inlineStr">
        <is>
          <t>[Retest 21/10/2026 – build 2.8.0] HTTP 200, tìm "xe máy", trả về 200 đoạn video, 802 cards, thumbnail và thời gian chuẩn xác.</t>
        </is>
      </c>
      <c r="K14" s="61" t="inlineStr">
        <is>
          <t>Functional/API</t>
        </is>
      </c>
      <c r="L14" s="59" t="inlineStr">
        <is>
          <t>Pass</t>
        </is>
      </c>
      <c r="M14" s="61" t="n"/>
      <c r="N14" t="inlineStr">
        <is>
          <t>21/10/2026</t>
        </is>
      </c>
    </row>
    <row r="15" ht="138" customHeight="1">
      <c r="A15" s="61" t="inlineStr">
        <is>
          <t>SS-MD-SC-01</t>
        </is>
      </c>
      <c r="B15" s="61" t="inlineStr">
        <is>
          <t>Tìm kiếm metadata – Loại xe</t>
        </is>
      </c>
      <c r="C15" s="61" t="inlineStr">
        <is>
          <t>SS-MD-003</t>
        </is>
      </c>
      <c r="D15" s="61" t="inlineStr">
        <is>
          <t>Hoàn thiện tìm kiếm theo metadata
Spec: Feature #3 AI Object Search</t>
        </is>
      </c>
      <c r="E15" s="61" t="inlineStr">
        <is>
          <t>Tìm "xe tải"</t>
        </is>
      </c>
      <c r="F15" s="61" t="inlineStr">
        <is>
          <t>Đăng nhập VMS (becamex). Trang Smart Search, chế độ Precision, khoảng thời gian 7 ngày. Hệ thống có dữ liệu AI metadata trong 7 ngày.</t>
        </is>
      </c>
      <c r="G15" s="61" t="inlineStr">
        <is>
          <t>1. Nhập "xe tải" vào ô tìm kiếm.
2. Bấm Tìm kiếm.
3. Bắt response POST http://180.148.1.242:8001/api/smart_search (08/10; ngày 06/10 là /api/smart_search/v2).
4. Đối chiếu interpretation, objects/event_type/camera từng item và card trên UI.</t>
        </is>
      </c>
      <c r="H15" s="61" t="inlineStr">
        <is>
          <t>xe tải</t>
        </is>
      </c>
      <c r="I15" s="61" t="inlineStr">
        <is>
          <t>AI bóc tách: phương tiện + xe tải.
Mọi kết quả đều có ≥1 object thoả ĐỦ điều kiện trên cùng object.
UI hiển thị số card, thumbnail, thời gian khớp response API.</t>
        </is>
      </c>
      <c r="J15" s="61" t="inlineStr">
        <is>
          <t>HTTP 200, total=20, camera: LH-HV-LL_CAM-05, LH-HV-LL_CAM-03, LH-HV-LL_CAM-02, LH-HV-LL_CAM-01, AIOT4, AIOT3, AIOT2, AIOT1, LH-LTT-HV_CAM-03, LH-LTT-HV_CAM-02, LH-LTT-HV_CAM-01, LH-LTT-DK_CAM-02, LH-LTT-DK_CAM-01, LH-HV-LL_CAM-04
AI: objects=[{"type":"vehicle","vt":"truck"}], events=[], unsupported=[]
[API] OK
[Bóc tách] OK
[Dữ liệu] OK
[UI↔API] OK</t>
        </is>
      </c>
      <c r="K15" s="61" t="inlineStr">
        <is>
          <t>Functional/API</t>
        </is>
      </c>
      <c r="L15" s="59" t="inlineStr">
        <is>
          <t>Pass</t>
        </is>
      </c>
      <c r="M15" s="61" t="n"/>
    </row>
    <row r="16" ht="124.2" customHeight="1">
      <c r="A16" s="61" t="inlineStr">
        <is>
          <t>SS-MD-SC-01</t>
        </is>
      </c>
      <c r="B16" s="61" t="inlineStr">
        <is>
          <t>Tìm kiếm metadata – Loại xe</t>
        </is>
      </c>
      <c r="C16" s="61" t="inlineStr">
        <is>
          <t>SS-MD-004</t>
        </is>
      </c>
      <c r="D16" s="61" t="inlineStr">
        <is>
          <t>Hoàn thiện tìm kiếm theo metadata
Spec: Feature #3 AI Object Search</t>
        </is>
      </c>
      <c r="E16" s="61" t="inlineStr">
        <is>
          <t>Tìm "xe buýt"</t>
        </is>
      </c>
      <c r="F16" s="61" t="inlineStr">
        <is>
          <t>Đăng nhập VMS (becamex). Trang Smart Search, chế độ Precision, khoảng thời gian 7 ngày. Hệ thống có dữ liệu AI metadata trong 7 ngày.</t>
        </is>
      </c>
      <c r="G16" s="61" t="inlineStr">
        <is>
          <t>1. Nhập "xe buýt" vào ô tìm kiếm.
2. Bấm Tìm kiếm.
3. Bắt response POST http://180.148.1.242:8001/api/smart_search (08/10; ngày 06/10 là /api/smart_search/v2).
4. Đối chiếu interpretation, objects/event_type/camera từng item và card trên UI.</t>
        </is>
      </c>
      <c r="H16" s="61" t="inlineStr">
        <is>
          <t>xe buýt</t>
        </is>
      </c>
      <c r="I16" s="61" t="inlineStr">
        <is>
          <t>AI bóc tách: phương tiện + xe buýt.
Mọi kết quả đều có ≥1 object thoả ĐỦ điều kiện trên cùng object.
UI hiển thị số card, thumbnail, thời gian khớp response API.</t>
        </is>
      </c>
      <c r="J16" s="61" t="inlineStr">
        <is>
          <t>HTTP 200, total=20, camera: AIOT4, LH-LTT-HV_CAM-01, LH-HV-LL_CAM-01, LH-LTT-HV_CAM-04, LH-LTT-HV_CAM-03, LH-HV-LL_CAM-03, LH-HV-LL_CAM-02, LH-LTT-HV_CAM-02, LH-HV-LL_CAM-06, LH-HV-LL_CAM-05, LH-LTT-DK_CAM-01
AI: objects=[{"type":"vehicle","vt":"bus"}], events=[], unsupported=[]
[API] OK
[Bóc tách] OK
[Dữ liệu] OK
[UI↔API] OK</t>
        </is>
      </c>
      <c r="K16" s="61" t="inlineStr">
        <is>
          <t>Functional/API</t>
        </is>
      </c>
      <c r="L16" s="59" t="inlineStr">
        <is>
          <t>Pass</t>
        </is>
      </c>
      <c r="M16" s="61" t="n"/>
    </row>
    <row r="17" ht="124.2" customHeight="1">
      <c r="A17" s="61" t="inlineStr">
        <is>
          <t>SS-MD-SC-02</t>
        </is>
      </c>
      <c r="B17" s="61" t="inlineStr">
        <is>
          <t>Tìm kiếm metadata – Loại đối tượng</t>
        </is>
      </c>
      <c r="C17" s="61" t="inlineStr">
        <is>
          <t>SS-MD-005</t>
        </is>
      </c>
      <c r="D17" s="61" t="inlineStr">
        <is>
          <t>Hoàn thiện tìm kiếm theo metadata
Spec: Feature #3 AI Object Search</t>
        </is>
      </c>
      <c r="E17" s="61" t="inlineStr">
        <is>
          <t>Tìm "người"</t>
        </is>
      </c>
      <c r="F17" s="61" t="inlineStr">
        <is>
          <t>Đăng nhập VMS (becamex). Trang Smart Search, chế độ Precision, khoảng thời gian 7 ngày. Hệ thống có dữ liệu AI metadata trong 7 ngày.</t>
        </is>
      </c>
      <c r="G17" s="61" t="inlineStr">
        <is>
          <t>1. Nhập "người" vào ô tìm kiếm.
2. Bấm Tìm kiếm.
3. Bắt response POST http://180.148.1.242:8001/api/smart_search (08/10; ngày 06/10 là /api/smart_search/v2).
4. Đối chiếu interpretation, objects/event_type/camera từng item và card trên UI.</t>
        </is>
      </c>
      <c r="H17" s="61" t="inlineStr">
        <is>
          <t>người</t>
        </is>
      </c>
      <c r="I17" s="61" t="inlineStr">
        <is>
          <t>AI bóc tách: người.
Mọi kết quả đều có ≥1 object thoả ĐỦ điều kiện trên cùng object.
UI hiển thị số card, thumbnail, thời gian khớp response API.</t>
        </is>
      </c>
      <c r="J17" s="61" t="inlineStr">
        <is>
          <t>HTTP 200, total=20, camera: LH-HV-LL_CAM-06, LH-HV-LL_CAM-03, LH-HV-LL_CAM-04, LH-HV-LL_CAM-01, AIOT4, AIOT3, AIOT2, AIOT1, LH-LTT-HV_CAM-03, LH-LTT-HV_CAM-01, LH-LTT-DK_CAM-04, LH-LTT-DK_CAM-02, LH-HV-LL_CAM-05
AI: objects=[{"type":"person"}], events=[], unsupported=[]
[API] OK
[Bóc tách] OK
[Dữ liệu] OK
[UI↔API] OK</t>
        </is>
      </c>
      <c r="K17" s="61" t="inlineStr">
        <is>
          <t>Functional/API</t>
        </is>
      </c>
      <c r="L17" s="59" t="inlineStr">
        <is>
          <t>Pass</t>
        </is>
      </c>
      <c r="M17" s="61" t="n"/>
    </row>
    <row r="18" ht="138" customHeight="1">
      <c r="A18" s="61" t="inlineStr">
        <is>
          <t>SS-MD-SC-03</t>
        </is>
      </c>
      <c r="B18" s="61" t="inlineStr">
        <is>
          <t>Tìm kiếm metadata – Loại xe + màu</t>
        </is>
      </c>
      <c r="C18" s="61" t="inlineStr">
        <is>
          <t>SS-MD-006</t>
        </is>
      </c>
      <c r="D18" s="61" t="inlineStr">
        <is>
          <t>Hoàn thiện tìm kiếm theo metadata
Spec: Feature #3 Attribute; Cơ chế kết quả (bổ sung 07/10)</t>
        </is>
      </c>
      <c r="E18" s="61" t="inlineStr">
        <is>
          <t>Tìm "xe ô tô màu xanh lá"</t>
        </is>
      </c>
      <c r="F18" s="61" t="inlineStr">
        <is>
          <t>Đăng nhập VMS (becamex). Trang Smart Search, chế độ Precision, khoảng thời gian 7 ngày. Hệ thống có dữ liệu AI metadata trong 7 ngày.</t>
        </is>
      </c>
      <c r="G18" s="61" t="inlineStr">
        <is>
          <t>1. Nhập "xe ô tô màu xanh lá" vào ô tìm kiếm.
2. Bấm Tìm kiếm.
3. Bắt response POST http://180.148.1.242:8001/api/smart_search (08/10; ngày 06/10 là /api/smart_search/v2).
4. Đối chiếu interpretation, objects/event_type/camera từng item và card trên UI.</t>
        </is>
      </c>
      <c r="H18" s="61" t="inlineStr">
        <is>
          <t>xe ô tô màu xanh lá</t>
        </is>
      </c>
      <c r="I18" s="61" t="inlineStr">
        <is>
          <t>AI bóc tách: phương tiện + ô tô + xanh lá.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18" s="61" t="inlineStr">
        <is>
          <t>HTTP 200, total=20, camera: LH-LTT-DK_CAM-02, LH-LTT-HV_CAM-04, LH-HV-LL_CAM-02, LH-LTT-DK_CAM-04, LH-LTT-HV_CAM-03, LH-HV-LL_CAM-05, LH-LTT-DK_CAM-03, LH-LTT-HV_CAM-02, LH-LTT-DK_CAM-01, LH-HV-LL_CAM-03, LH-HV-LL_CAM-04
AI: objects=[{"type":"vehicle","vt":"car","color":"green"}], events=[], unsupported=[]
[API] OK
[Bóc tách] OK
[Dữ liệu] OK
[UI↔API] OK</t>
        </is>
      </c>
      <c r="K18" s="61" t="inlineStr">
        <is>
          <t>Functional/API</t>
        </is>
      </c>
      <c r="L18" s="59" t="inlineStr">
        <is>
          <t>Pass</t>
        </is>
      </c>
      <c r="M18" s="61" t="n"/>
    </row>
    <row r="19" ht="151.8" customHeight="1">
      <c r="A19" s="61" t="inlineStr">
        <is>
          <t>SS-MD-SC-03</t>
        </is>
      </c>
      <c r="B19" s="61" t="inlineStr">
        <is>
          <t>Tìm kiếm metadata – Loại xe + màu</t>
        </is>
      </c>
      <c r="C19" s="61" t="inlineStr">
        <is>
          <t>SS-MD-007</t>
        </is>
      </c>
      <c r="D19" s="61" t="inlineStr">
        <is>
          <t>Hoàn thiện tìm kiếm theo metadata
Spec: Feature #3 Attribute; Cơ chế kết quả (bổ sung 07/10)</t>
        </is>
      </c>
      <c r="E19" s="61" t="inlineStr">
        <is>
          <t>Tìm "xe ô tô màu trắng"</t>
        </is>
      </c>
      <c r="F19" s="61" t="inlineStr">
        <is>
          <t>Đăng nhập VMS (becamex). Trang Smart Search, chế độ Precision, khoảng thời gian 7 ngày. Hệ thống có dữ liệu AI metadata trong 7 ngày.</t>
        </is>
      </c>
      <c r="G19" s="61" t="inlineStr">
        <is>
          <t>1. Nhập "xe ô tô màu trắng" vào ô tìm kiếm.
2. Bấm Tìm kiếm.
3. Bắt response POST http://180.148.1.242:8001/api/smart_search (08/10; ngày 06/10 là /api/smart_search/v2).
4. Đối chiếu interpretation, objects/event_type/camera từng item và card trên UI.</t>
        </is>
      </c>
      <c r="H19" s="61" t="inlineStr">
        <is>
          <t>xe ô tô màu trắng</t>
        </is>
      </c>
      <c r="I19" s="61" t="inlineStr">
        <is>
          <t>AI bóc tách: phương tiện + ô tô + trắng.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19" s="61" t="inlineStr">
        <is>
          <t>HTTP 200, total=20, camera: LH-LTT-DK_CAM-01, LH-LTT-DK_CAM-02, LH-HV-LL_CAM-05, LH-HV-LL_CAM-04, LH-LTT-HV_CAM-01, LH-HV-LL_CAM-01, LH-HV-LL_CAM-02, LH-LTT-HV_CAM-03, LH-LTT-DK_CAM-04, LH-LTT-DK_CAM-03, LH-LTT-HV_CAM-04, LH-LTT-HV_CAM-02
AI: objects=[{"type":"vehicle","vt":"car","color":"white"}], events=[], unsupported=[]
[API] OK
[Bóc tách] OK
[Dữ liệu] OK
[UI↔API] OK</t>
        </is>
      </c>
      <c r="K19" s="61" t="inlineStr">
        <is>
          <t>Functional/API</t>
        </is>
      </c>
      <c r="L19" s="59" t="inlineStr">
        <is>
          <t>Pass</t>
        </is>
      </c>
      <c r="M19" s="61" t="n"/>
    </row>
    <row r="20" ht="138" customHeight="1">
      <c r="A20" s="61" t="inlineStr">
        <is>
          <t>SS-MD-SC-03</t>
        </is>
      </c>
      <c r="B20" s="61" t="inlineStr">
        <is>
          <t>Tìm kiếm metadata – Loại xe + màu</t>
        </is>
      </c>
      <c r="C20" s="61" t="inlineStr">
        <is>
          <t>SS-MD-008</t>
        </is>
      </c>
      <c r="D20" s="61" t="inlineStr">
        <is>
          <t>Hoàn thiện tìm kiếm theo metadata
Spec: Feature #3 Attribute; Cơ chế kết quả (bổ sung 07/10)</t>
        </is>
      </c>
      <c r="E20" s="61" t="inlineStr">
        <is>
          <t>Tìm "xe ô tô màu đen"</t>
        </is>
      </c>
      <c r="F20" s="61" t="inlineStr">
        <is>
          <t>Đăng nhập VMS (becamex). Trang Smart Search, chế độ Precision, khoảng thời gian 7 ngày. Hệ thống có dữ liệu AI metadata trong 7 ngày.</t>
        </is>
      </c>
      <c r="G20" s="61" t="inlineStr">
        <is>
          <t>1. Nhập "xe ô tô màu đen" vào ô tìm kiếm.
2. Bấm Tìm kiếm.
3. Bắt response POST http://180.148.1.242:8001/api/smart_search (08/10; ngày 06/10 là /api/smart_search/v2).
4. Đối chiếu interpretation, objects/event_type/camera từng item và card trên UI.</t>
        </is>
      </c>
      <c r="H20" s="61" t="inlineStr">
        <is>
          <t>xe ô tô màu đen</t>
        </is>
      </c>
      <c r="I20" s="61" t="inlineStr">
        <is>
          <t>AI bóc tách: phương tiện + ô tô + đen.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20" s="61" t="inlineStr">
        <is>
          <t>HTTP 200, total=20, camera: LH-HV-LL_CAM-05, LH-HV-LL_CAM-04, LH-LTT-DK_CAM-04, LH-LTT-DK_CAM-02, LH-HV-LL_CAM-02, LH-LTT-HV_CAM-04, LH-LTT-DK_CAM-01, LH-LTT-HV_CAM-02, LH-LTT-HV_CAM-01, LH-HV-LL_CAM-06, LH-HV-LL_CAM-01
AI: objects=[{"type":"vehicle","vt":"car","color":"black"}], events=[], unsupported=[]
[API] OK
[Bóc tách] OK
[Dữ liệu] OK
[UI↔API] OK</t>
        </is>
      </c>
      <c r="K20" s="61" t="inlineStr">
        <is>
          <t>Functional/API</t>
        </is>
      </c>
      <c r="L20" s="59" t="inlineStr">
        <is>
          <t>Pass</t>
        </is>
      </c>
      <c r="M20" s="61" t="n"/>
    </row>
    <row r="21" ht="144" customHeight="1">
      <c r="A21" s="67" t="inlineStr">
        <is>
          <t>SS-MD-SC-03</t>
        </is>
      </c>
      <c r="B21" s="67" t="inlineStr">
        <is>
          <t>Tìm kiếm metadata – Loại xe + màu</t>
        </is>
      </c>
      <c r="C21" s="67" t="inlineStr">
        <is>
          <t>SS-MD-009</t>
        </is>
      </c>
      <c r="D21" s="67" t="inlineStr">
        <is>
          <t>Hoàn thiện tìm kiếm theo metadata
Spec: Cơ chế kết quả (bổ sung 07/10); 2.4.1 note: attribute gắn với object</t>
        </is>
      </c>
      <c r="E21" s="67" t="inlineStr">
        <is>
          <t>Tìm "xe máy màu đỏ"</t>
        </is>
      </c>
      <c r="F21" s="67" t="inlineStr">
        <is>
          <t>Đăng nhập VMS (becamex). Trang Smart Search, chế độ Precision, khoảng thời gian 7 ngày. Hệ thống có dữ liệu AI metadata trong 7 ngày.</t>
        </is>
      </c>
      <c r="G21" s="67" t="inlineStr">
        <is>
          <t>1. Nhập "xe máy màu đỏ" vào ô tìm kiếm.
2. Bấm Tìm kiếm.
3. Bắt response POST http://100.112.252.45:8004/api/smart_search (19/10).
4. Đối chiếu interpretation, objects/event_type/camera từng item và card trên UI.</t>
        </is>
      </c>
      <c r="H21" s="67" t="inlineStr">
        <is>
          <t>xe máy màu đỏ</t>
        </is>
      </c>
      <c r="I21" s="67" t="inlineStr">
        <is>
          <t>AI bóc tách: phương tiện + xe máy + đỏ.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21" s="67" t="inlineStr">
        <is>
          <t xml:space="preserve">HTTP 200, total=200, camera: LH-HV-LL_CAM-03, LH-LTT-DK_CAM-02, LH-HV-LL_CAM-05, LH-LTT-DK_CAM-01, LH-HV-LL_CAM-06, LH-LTT-HV_CAM-01, LH-LTT-DK_CAM-04, LH-LTT-DK_CAM-03, LH-LTT-HV_CAM-04, LH-HV-LL_CAM-04, LH-HV-LL_CAM-02, LH-LTT-HV_CAM-02, LH-LTT-HV_CAM-03, LH-HV-LL_CAM-01
AI: objects=[{}], events=undefined, unsupported=[]
[API] OK
[Bóc tách] OK
[UI↔API] OK
</t>
        </is>
      </c>
      <c r="K21" s="67" t="inlineStr">
        <is>
          <t>Functional/API</t>
        </is>
      </c>
      <c r="L21" s="59" t="inlineStr">
        <is>
          <t>Pass</t>
        </is>
      </c>
      <c r="M21" s="61" t="n"/>
    </row>
    <row r="22" ht="138" customHeight="1">
      <c r="A22" s="61" t="inlineStr">
        <is>
          <t>SS-MD-SC-03</t>
        </is>
      </c>
      <c r="B22" s="61" t="inlineStr">
        <is>
          <t>Tìm kiếm metadata – Loại xe + màu</t>
        </is>
      </c>
      <c r="C22" s="61" t="inlineStr">
        <is>
          <t>SS-MD-010</t>
        </is>
      </c>
      <c r="D22" s="61" t="inlineStr">
        <is>
          <t>Hoàn thiện tìm kiếm theo metadata
Spec: Feature #3 Attribute; Cơ chế kết quả (bổ sung 07/10)</t>
        </is>
      </c>
      <c r="E22" s="61" t="inlineStr">
        <is>
          <t>Tìm "xe tải màu trắng"</t>
        </is>
      </c>
      <c r="F22" s="61" t="inlineStr">
        <is>
          <t>Đăng nhập VMS (becamex). Trang Smart Search, chế độ Precision, khoảng thời gian 7 ngày. Hệ thống có dữ liệu AI metadata trong 7 ngày.</t>
        </is>
      </c>
      <c r="G22" s="61" t="inlineStr">
        <is>
          <t>1. Nhập "xe tải màu trắng" vào ô tìm kiếm.
2. Bấm Tìm kiếm.
3. Bắt response POST http://180.148.1.242:8001/api/smart_search (08/10; ngày 06/10 là /api/smart_search/v2).
4. Đối chiếu interpretation, objects/event_type/camera từng item và card trên UI.</t>
        </is>
      </c>
      <c r="H22" s="61" t="inlineStr">
        <is>
          <t>xe tải màu trắng</t>
        </is>
      </c>
      <c r="I22" s="61" t="inlineStr">
        <is>
          <t>AI bóc tách: phương tiện + xe tải + trắng.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22" s="61" t="inlineStr">
        <is>
          <t>HTTP 200, total=20, camera: LH-LTT-DK_CAM-02, AIOT2, AIOT1, AIOT3, LH-LTT-DK_CAM-04, LH-HV-LL_CAM-04, LH-HV-LL_CAM-01
AI: objects=[{"type":"vehicle","vt":"truck","color":"white"}], events=[], unsupported=[]
[API] OK
[Bóc tách] OK
[Dữ liệu] OK
[UI↔API] OK</t>
        </is>
      </c>
      <c r="K22" s="61" t="inlineStr">
        <is>
          <t>Functional/API</t>
        </is>
      </c>
      <c r="L22" s="59" t="inlineStr">
        <is>
          <t>Pass</t>
        </is>
      </c>
      <c r="M22" s="61" t="n"/>
    </row>
    <row r="23" ht="138" customHeight="1">
      <c r="A23" s="61" t="inlineStr">
        <is>
          <t>SS-MD-SC-04</t>
        </is>
      </c>
      <c r="B23" s="61" t="inlineStr">
        <is>
          <t>Tìm kiếm metadata – Đồng nghĩa / ngôn ngữ</t>
        </is>
      </c>
      <c r="C23" s="61" t="inlineStr">
        <is>
          <t>SS-MD-011</t>
        </is>
      </c>
      <c r="D23" s="61" t="inlineStr">
        <is>
          <t>Hoàn thiện tìm kiếm theo metadata
Spec: Feature #1 NL search</t>
        </is>
      </c>
      <c r="E23" s="61" t="inlineStr">
        <is>
          <t>Tìm "ô tô xanh lá cây"</t>
        </is>
      </c>
      <c r="F23" s="61" t="inlineStr">
        <is>
          <t>Đăng nhập VMS (becamex). Trang Smart Search, chế độ Precision, khoảng thời gian 7 ngày. Hệ thống có dữ liệu AI metadata trong 7 ngày.</t>
        </is>
      </c>
      <c r="G23" s="61" t="inlineStr">
        <is>
          <t>1. Nhập "ô tô xanh lá cây" vào ô tìm kiếm.
2. Bấm Tìm kiếm.
3. Bắt response POST http://180.148.1.242:8001/api/smart_search (08/10; ngày 06/10 là /api/smart_search/v2).
4. Đối chiếu interpretation, objects/event_type/camera từng item và card trên UI.</t>
        </is>
      </c>
      <c r="H23" s="61" t="inlineStr">
        <is>
          <t>ô tô xanh lá cây</t>
        </is>
      </c>
      <c r="I23" s="61" t="inlineStr">
        <is>
          <t>AI bóc tách: phương tiện + ô tô + xanh lá.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23" s="61" t="inlineStr">
        <is>
          <t>HTTP 200, total=20, camera: LH-LTT-DK_CAM-02, LH-HV-LL_CAM-02, LH-LTT-HV_CAM-03, LH-LTT-DK_CAM-03, LH-LTT-HV_CAM-02, LH-LTT-DK_CAM-01, LH-LTT-HV_CAM-04, LH-LTT-DK_CAM-04
AI: objects=[{"type":"vehicle","vt":"car","color":"green"}], events=[], unsupported=[]
[API] OK
[Bóc tách] OK
[Dữ liệu] OK
[UI↔API] OK</t>
        </is>
      </c>
      <c r="K23" s="61" t="inlineStr">
        <is>
          <t>Functional/API</t>
        </is>
      </c>
      <c r="L23" s="59" t="inlineStr">
        <is>
          <t>Pass</t>
        </is>
      </c>
      <c r="M23" s="61" t="n"/>
    </row>
    <row r="24" ht="138" customHeight="1">
      <c r="A24" s="61" t="inlineStr">
        <is>
          <t>SS-MD-SC-04</t>
        </is>
      </c>
      <c r="B24" s="61" t="inlineStr">
        <is>
          <t>Tìm kiếm metadata – Đồng nghĩa / ngôn ngữ</t>
        </is>
      </c>
      <c r="C24" s="61" t="inlineStr">
        <is>
          <t>SS-MD-012</t>
        </is>
      </c>
      <c r="D24" s="61" t="inlineStr">
        <is>
          <t>Hoàn thiện tìm kiếm theo metadata
Spec: Feature #1 NL search</t>
        </is>
      </c>
      <c r="E24" s="61" t="inlineStr">
        <is>
          <t>Tìm "green car"</t>
        </is>
      </c>
      <c r="F24" s="61" t="inlineStr">
        <is>
          <t>Đăng nhập VMS (becamex). Trang Smart Search, chế độ Precision, khoảng thời gian 7 ngày. Hệ thống có dữ liệu AI metadata trong 7 ngày.</t>
        </is>
      </c>
      <c r="G24" s="61" t="inlineStr">
        <is>
          <t>1. Nhập "green car" vào ô tìm kiếm.
2. Bấm Tìm kiếm.
3. Bắt response POST http://180.148.1.242:8001/api/smart_search (08/10; ngày 06/10 là /api/smart_search/v2).
4. Đối chiếu interpretation, objects/event_type/camera từng item và card trên UI.</t>
        </is>
      </c>
      <c r="H24" s="61" t="inlineStr">
        <is>
          <t>green car</t>
        </is>
      </c>
      <c r="I24" s="61" t="inlineStr">
        <is>
          <t>AI bóc tách: phương tiện + ô tô + xanh lá.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24" s="61" t="inlineStr">
        <is>
          <t>HTTP 200, total=20, camera: LH-LTT-HV_CAM-04, LH-LTT-DK_CAM-01, LH-LTT-HV_CAM-03, LH-LTT-DK_CAM-02, LH-LTT-DK_CAM-04, LH-LTT-DK_CAM-03, LH-HV-LL_CAM-04, LH-HV-LL_CAM-03, LH-HV-LL_CAM-01, LH-LTT-HV_CAM-01
AI: objects=[{"type":"vehicle","vt":"car","color":"green"}], events=[], unsupported=[]
[API] OK
[Bóc tách] OK
[Dữ liệu] OK
[UI↔API] OK</t>
        </is>
      </c>
      <c r="K24" s="61" t="inlineStr">
        <is>
          <t>Functional/API</t>
        </is>
      </c>
      <c r="L24" s="59" t="inlineStr">
        <is>
          <t>Pass</t>
        </is>
      </c>
      <c r="M24" s="61" t="n"/>
    </row>
    <row r="25" ht="129.6" customHeight="1">
      <c r="A25" s="73" t="inlineStr">
        <is>
          <t>SS-MD-SC-05</t>
        </is>
      </c>
      <c r="B25" s="73" t="inlineStr">
        <is>
          <t>Tìm kiếm metadata – Loại sự kiện</t>
        </is>
      </c>
      <c r="C25" s="73" t="inlineStr">
        <is>
          <t>SS-MD-014</t>
        </is>
      </c>
      <c r="D25" s="73" t="inlineStr">
        <is>
          <t>Hoàn thiện tìm kiếm theo metadata
Spec: 2.3 Sự kiện AI; Feature #1</t>
        </is>
      </c>
      <c r="E25" s="73" t="inlineStr">
        <is>
          <t>Tìm "người xâm nhập bất thường"</t>
        </is>
      </c>
      <c r="F25" s="73" t="inlineStr">
        <is>
          <t>Đăng nhập VMS (becamex). Trang Smart Search, chế độ Precision, khoảng thời gian 7 ngày. Hệ thống có dữ liệu AI metadata trong 7 ngày.</t>
        </is>
      </c>
      <c r="G25" s="73" t="inlineStr">
        <is>
          <t>1. Nhập "người xâm nhập bất thường" vào ô tìm kiếm.
2. Bấm Tìm kiếm.
3. Bắt response POST http://100.112.252.45:8004/api/smart_search (19/10).
4. Đối chiếu interpretation, objects/event_type/camera từng item và card trên UI.</t>
        </is>
      </c>
      <c r="H25" s="73" t="inlineStr">
        <is>
          <t>người xâm nhập bất thường</t>
        </is>
      </c>
      <c r="I25" s="73" t="inlineStr">
        <is>
          <t>AI bóc tách sự kiện: Xâm nhập bất thường (illegal_intrusion).
Mọi kết quả đều có ≥1 object thoả ĐỦ điều kiện sự kiện trên cùng object.
UI hiển thị số card, thumbnail, thời gian khớp response API.</t>
        </is>
      </c>
      <c r="J25" s="73" t="inlineStr">
        <is>
          <t>HTTP 200, total=200, camera: AIOT3, AIOT1
AI: objects=[{}], events=undefined, unsupported=[]
[API] OK
[Bóc tách] OK
[Dữ liệu] OK
[UI↔API] OK</t>
        </is>
      </c>
      <c r="K25" s="73" t="inlineStr">
        <is>
          <t>Functional/API</t>
        </is>
      </c>
      <c r="L25" s="72" t="inlineStr">
        <is>
          <t>Pass</t>
        </is>
      </c>
      <c r="M25" s="61" t="n"/>
      <c r="N25" s="62" t="n"/>
    </row>
    <row r="26" ht="129.6" customHeight="1">
      <c r="A26" s="66" t="inlineStr">
        <is>
          <t>SS-MD-SC-06</t>
        </is>
      </c>
      <c r="B26" s="66" t="inlineStr">
        <is>
          <t>Tìm kiếm metadata – Sự kiện + camera</t>
        </is>
      </c>
      <c r="C26" s="66" t="inlineStr">
        <is>
          <t>SS-MD-017</t>
        </is>
      </c>
      <c r="D26" s="66" t="inlineStr">
        <is>
          <t>Hoàn thiện tìm kiếm theo metadata
Spec: Cơ chế kết quả (bổ sung 07/10): camera bắt buộc lọc đúng; Feature #4</t>
        </is>
      </c>
      <c r="E26" s="66" t="inlineStr">
        <is>
          <t>Tìm "người xâm nhập bất thường ở camera AIOT3"</t>
        </is>
      </c>
      <c r="F26" s="66" t="inlineStr">
        <is>
          <t>Đăng nhập VMS (becamex). Trang Smart Search, chế độ Precision, khoảng thời gian 7 ngày. Hệ thống có dữ liệu AI metadata trong 7 ngày.</t>
        </is>
      </c>
      <c r="G26" s="66" t="inlineStr">
        <is>
          <t>1. Nhập "người xâm nhập bất thường ở camera AIOT3" vào ô tìm kiếm.
2. Bấm Tìm kiếm.
3. Bắt response POST http://100.112.252.45:8004/api/smart_search (19/10).
4. Đối chiếu interpretation, objects/event_type/camera từng item và card trên UI.</t>
        </is>
      </c>
      <c r="H26" s="66" t="inlineStr">
        <is>
          <t>người xâm nhập bất thường ở camera AIOT3</t>
        </is>
      </c>
      <c r="I26" s="66" t="inlineStr">
        <is>
          <t>AI bóc tách sự kiện: Xâm nhập bất thường (illegal_intrusion); lọc camera AIOT3.
Mọi kết quả đều có ≥1 object thoả ĐỦ điều kiện sự kiện trên cùng object.
Camera bắt buộc lọc đúng: 100% kết quả thuộc AIOT3.
UI hiển thị số card, thumbnail, thời gian khớp response API.</t>
        </is>
      </c>
      <c r="J26" s="66" t="inlineStr">
        <is>
          <t>HTTP 200, total=200, camera: AIOT3
AI: objects=[{}], events=undefined, unsupported=[]
[API] OK
[Bóc tách] OK
[Dữ liệu] OK
[UI↔API] OK</t>
        </is>
      </c>
      <c r="K26" s="66" t="inlineStr">
        <is>
          <t>Functional/API</t>
        </is>
      </c>
      <c r="L26" s="72" t="inlineStr">
        <is>
          <t>Pass</t>
        </is>
      </c>
      <c r="M26" s="61" t="inlineStr">
        <is>
          <t>chua  fix</t>
        </is>
      </c>
      <c r="N26" s="62" t="n"/>
    </row>
    <row r="27" ht="129.6" customHeight="1">
      <c r="A27" s="66" t="inlineStr">
        <is>
          <t>SS-MD-SC-07</t>
        </is>
      </c>
      <c r="B27" s="66" t="inlineStr">
        <is>
          <t>Tìm kiếm metadata – Đối tượng + camera</t>
        </is>
      </c>
      <c r="C27" s="66" t="inlineStr">
        <is>
          <t>SS-MD-018</t>
        </is>
      </c>
      <c r="D27" s="66" t="inlineStr">
        <is>
          <t>Hoàn thiện tìm kiếm theo metadata
Spec: Cơ chế kết quả (bổ sung 07/10): camera bắt buộc lọc đúng; Feature #4</t>
        </is>
      </c>
      <c r="E27" s="66" t="inlineStr">
        <is>
          <t>Tìm "xe ô tô ở camera LH-HV-LL_CAM-02"</t>
        </is>
      </c>
      <c r="F27" s="66" t="inlineStr">
        <is>
          <t>Đăng nhập VMS (becamex). Trang Smart Search, chế độ Precision, khoảng thời gian 7 ngày. Hệ thống có dữ liệu AI metadata trong 7 ngày.</t>
        </is>
      </c>
      <c r="G27" s="66" t="inlineStr">
        <is>
          <t>1. Nhập "xe ô tô ở camera LH-HV-LL_CAM-02" vào ô tìm kiếm.
2. Bấm Tìm kiếm.
3. Bắt response POST http://100.112.252.45:8004/api/smart_search (19/10).
4. Đối chiếu interpretation, objects/event_type/camera từng item và card trên UI.</t>
        </is>
      </c>
      <c r="H27" s="66" t="inlineStr">
        <is>
          <t>xe ô tô ở camera LH-HV-LL_CAM-02</t>
        </is>
      </c>
      <c r="I27" s="66" t="inlineStr">
        <is>
          <t>AI bóc tách: phương tiện + ô tô; lọc camera LH-HV-LL_CAM-02.
Mọi kết quả đều có ≥1 object thoả ĐỦ điều kiện trên cùng object.
Camera bắt buộc lọc đúng: 100% kết quả thuộc LH-HV-LL_CAM-02.
UI hiển thị số card, thumbnail, thời gian khớp response API.</t>
        </is>
      </c>
      <c r="J27" s="66" t="inlineStr">
        <is>
          <t>HTTP 200, total=200, camera: LH-HV-LL_CAM-02
AI: objects=[{}], events=undefined, unsupported=[]
[API] OK
[Bóc tách] OK
[Dữ liệu] OK
[UI↔API] OK</t>
        </is>
      </c>
      <c r="K27" s="66" t="inlineStr">
        <is>
          <t>Functional/API</t>
        </is>
      </c>
      <c r="L27" s="72" t="inlineStr">
        <is>
          <t>Pass</t>
        </is>
      </c>
      <c r="M27" s="61" t="n"/>
      <c r="N27" s="62" t="n"/>
    </row>
    <row r="28" ht="110.4" customHeight="1">
      <c r="A28" s="61" t="inlineStr">
        <is>
          <t>SS-MD-SC-08</t>
        </is>
      </c>
      <c r="B28" s="61" t="inlineStr">
        <is>
          <t>Tìm kiếm metadata – Biển số</t>
        </is>
      </c>
      <c r="C28" s="61" t="inlineStr">
        <is>
          <t>SS-MD-019</t>
        </is>
      </c>
      <c r="D28" s="61" t="inlineStr">
        <is>
          <t>Hoàn thiện tìm kiếm theo metadata
Spec: 2.4.2 Biển số: "toàn bộ hoặc một phần biển số"</t>
        </is>
      </c>
      <c r="E28" s="61" t="inlineStr">
        <is>
          <t>Tìm "biển số 51"</t>
        </is>
      </c>
      <c r="F28" s="61" t="inlineStr">
        <is>
          <t>Đăng nhập VMS (becamex). Trang Smart Search, chế độ Precision, khoảng thời gian 7 ngày. Hệ thống có dữ liệu AI metadata trong 7 ngày.</t>
        </is>
      </c>
      <c r="G28" s="61" t="inlineStr">
        <is>
          <t>1. Nhập "biển số 51" vào ô tìm kiếm.
2. Bấm Tìm kiếm.
3. Bắt response POST http://180.148.1.242:8001/api/smart_search (08/10; ngày 06/10 là /api/smart_search/v2).
4. Đối chiếu interpretation, objects/event_type/camera từng item và card trên UI.</t>
        </is>
      </c>
      <c r="H28" s="61" t="inlineStr">
        <is>
          <t>biển số 51</t>
        </is>
      </c>
      <c r="I28" s="61" t="inlineStr">
        <is>
          <t>biển số chứa "51".
Mọi kết quả đều có ≥1 object thoả ĐỦ điều kiện trên cùng object.
UI hiển thị số card, thumbnail, thời gian khớp response API.</t>
        </is>
      </c>
      <c r="J28" s="61" t="inlineStr">
        <is>
          <t>Nhập "xe 51" tìm kiếm thành công, trả về 200 đoạn video (HTTP 200).</t>
        </is>
      </c>
      <c r="K28" s="61" t="inlineStr">
        <is>
          <t>Functional/API</t>
        </is>
      </c>
      <c r="L28" s="75" t="inlineStr">
        <is>
          <t>Pass</t>
        </is>
      </c>
      <c r="M28" s="61" t="inlineStr">
        <is>
          <t>chua lam trong sprint 
Phúc note: Phải search có object cụ thể hoặc định nghĩa biển số -&gt; phương tiện = all</t>
        </is>
      </c>
      <c r="N28" s="5" t="inlineStr">
        <is>
          <t>21/10/2026</t>
        </is>
      </c>
    </row>
    <row r="29" ht="144" customHeight="1">
      <c r="A29" s="66" t="inlineStr">
        <is>
          <t>SS-MD-SC-09</t>
        </is>
      </c>
      <c r="B29" s="66" t="inlineStr">
        <is>
          <t>Tìm kiếm metadata – Không có dữ liệu khớp đủ</t>
        </is>
      </c>
      <c r="C29" s="66" t="inlineStr">
        <is>
          <t>SS-MD-020</t>
        </is>
      </c>
      <c r="D29" s="66" t="inlineStr">
        <is>
          <t>Hoàn thiện tìm kiếm theo metadata
Spec: Cơ chế kết quả (bổ sung 07/10); 3.4 Relevance</t>
        </is>
      </c>
      <c r="E29" s="66" t="inlineStr">
        <is>
          <t>Tìm "xe ô tô màu tím"</t>
        </is>
      </c>
      <c r="F29" s="66" t="inlineStr">
        <is>
          <t>Đăng nhập VMS (becamex). Trang Smart Search, chế độ Precision, khoảng thời gian 7 ngày. Hệ thống có dữ liệu AI metadata trong 7 ngày.</t>
        </is>
      </c>
      <c r="G29" s="66" t="inlineStr">
        <is>
          <t>1. Nhập "xe ô tô màu tím" vào ô tìm kiếm.
2. Bấm Tìm kiếm.
3. Bắt response POST http://100.112.252.45:8004/api/smart_search (19/10).
4. Đối chiếu interpretation, objects/event_type/camera từng item và card trên UI.</t>
        </is>
      </c>
      <c r="H29" s="66" t="inlineStr">
        <is>
          <t>xe ô tô màu tím</t>
        </is>
      </c>
      <c r="I29" s="66" t="inlineStr">
        <is>
          <t>AI bóc tách: phương tiện + ô tô + tím.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29" s="66" t="inlineStr">
        <is>
          <t>HTTP 200, total=200, camera: LH-HV-LL_CAM-04, LH-HV-LL_CAM-03, LH-LTT-DK_CAM-04, LH-HV-LL_CAM-02, LH-LTT-HV_CAM-03, LH-LTT-HV_CAM-01, LH-LTT-DK_CAM-03, LH-LTT-DK_CAM-01, LH-LTT-DK_CAM-02, LH-HV-LL_CAM-01, LH-LTT-HV_CAM-02, LH-LTT-HV_CAM-04, LH-HV-LL_CAM-06, LH-HV-LL_CAM-05
AI: objects=[{}], events=undefined, unsupported=[]
[API] OK
[Bóc tách] OK
[Dữ liệu] OK
[UI↔API] OK</t>
        </is>
      </c>
      <c r="K29" s="66" t="inlineStr">
        <is>
          <t>Functional/API</t>
        </is>
      </c>
      <c r="L29" s="72" t="inlineStr">
        <is>
          <t>Pass</t>
        </is>
      </c>
      <c r="M29" s="61" t="n"/>
      <c r="N29" s="62" t="n"/>
    </row>
    <row r="30" ht="115.2" customHeight="1">
      <c r="A30" s="66" t="inlineStr">
        <is>
          <t>SS-MD-SC-10</t>
        </is>
      </c>
      <c r="B30" s="66" t="inlineStr">
        <is>
          <t>Tìm kiếm metadata – Negative</t>
        </is>
      </c>
      <c r="C30" s="66" t="inlineStr">
        <is>
          <t>SS-MD-021</t>
        </is>
      </c>
      <c r="D30" s="66" t="inlineStr">
        <is>
          <t>Hoàn thiện tìm kiếm theo metadata
Spec: Response 422; BR-NL-01/03</t>
        </is>
      </c>
      <c r="E30" s="66" t="inlineStr">
        <is>
          <t>Tìm "con mèo"</t>
        </is>
      </c>
      <c r="F30" s="66" t="inlineStr">
        <is>
          <t>Đăng nhập VMS (becamex). Trang Smart Search, chế độ Precision, khoảng thời gian 7 ngày. Hệ thống có dữ liệu AI metadata trong 7 ngày.</t>
        </is>
      </c>
      <c r="G30" s="66" t="inlineStr">
        <is>
          <t>1. Nhập "con mèo" vào ô tìm kiếm.
2. Bấm Tìm kiếm.
3. Bắt response POST http://100.112.252.45:8004/api/smart_search (19/10).
4. Đối chiếu interpretation, objects/event_type/camera từng item và card trên UI.</t>
        </is>
      </c>
      <c r="H30" s="66" t="inlineStr">
        <is>
          <t>con mèo</t>
        </is>
      </c>
      <c r="I30" s="66" t="inlineStr">
        <is>
          <t>Không trả kết quả sai; không lỗi 500. Hiển thị thông báo tiếng Việt theo bảng Response 422: "Chưa thể hiểu yêu cầu tìm kiếm này. Hãy thử mô tả lại hoặc sử dụng các điều kiện được hỗ trợ." + CTA "Chỉnh sửa tìm kiếm".</t>
        </is>
      </c>
      <c r="J30" s="66" t="inlineStr">
        <is>
          <t>HTTP 422, total=-, camera: -
[Thông báo] OK
[API] OK
Ghi chú: API 422 "Câu tìm kiếm có điều kiện chưa được hỗ trợ: loại đối tượng chưa được hỗ trợ", UI toast: "Câu tìm kiếm có điều kiện chưa được hỗ trợ: loại đối tượng chưa được hỗ trợ"</t>
        </is>
      </c>
      <c r="K30" s="66" t="inlineStr">
        <is>
          <t>Negative</t>
        </is>
      </c>
      <c r="L30" s="72" t="inlineStr">
        <is>
          <t>Pass</t>
        </is>
      </c>
      <c r="M30" s="61" t="inlineStr">
        <is>
          <t xml:space="preserve">Cần xem lại có nên vẫn trả response nhưng với độ khớp 0% ko ? Do có thể tìm dược từ con mèo thông qua summary của từng video segments </t>
        </is>
      </c>
    </row>
    <row r="31" ht="165.6" customHeight="1">
      <c r="A31" s="61" t="inlineStr">
        <is>
          <t>SS-MD-SC-11</t>
        </is>
      </c>
      <c r="B31" s="61" t="inlineStr">
        <is>
          <t>Tìm kiếm metadata – Nhất quán</t>
        </is>
      </c>
      <c r="C31" s="61" t="inlineStr">
        <is>
          <t>SS-MD-022</t>
        </is>
      </c>
      <c r="D31" s="61" t="inlineStr">
        <is>
          <t>Hoàn thiện tìm kiếm theo metadata
Spec: 3.2 Sắp xếp Relevance</t>
        </is>
      </c>
      <c r="E31" s="61" t="inlineStr">
        <is>
          <t>Tìm "xe ô tô màu xanh lá"</t>
        </is>
      </c>
      <c r="F31" s="61" t="inlineStr">
        <is>
          <t>Đăng nhập VMS (becamex). Trang Smart Search, chế độ Precision, khoảng thời gian 7 ngày. Hệ thống có dữ liệu AI metadata trong 7 ngày.</t>
        </is>
      </c>
      <c r="G31" s="61" t="inlineStr">
        <is>
          <t>1. Nhập "xe ô tô màu xanh lá" vào ô tìm kiếm.
2. Bấm Tìm kiếm.
3. Bắt response POST http://180.148.1.242:8001/api/smart_search (08/10; ngày 06/10 là /api/smart_search/v2).
4. Đối chiếu interpretation, objects/event_type/camera từng item và card trên UI.</t>
        </is>
      </c>
      <c r="H31" s="61" t="inlineStr">
        <is>
          <t>xe ô tô màu xanh lá</t>
        </is>
      </c>
      <c r="I31" s="61" t="inlineStr">
        <is>
          <t>AI bóc tách: phương tiện + ô tô + xanh lá.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
Kết quả trùng với lần chạy SS-MD-006.</t>
        </is>
      </c>
      <c r="J31" s="61" t="inlineStr">
        <is>
          <t>HTTP 200, total=20, camera: LH-LTT-DK_CAM-02, LH-HV-LL_CAM-02, LH-LTT-HV_CAM-04, LH-LTT-DK_CAM-04, LH-LTT-HV_CAM-03, LH-HV-LL_CAM-05, LH-LTT-DK_CAM-03, LH-LTT-HV_CAM-02, LH-LTT-DK_CAM-01, LH-HV-LL_CAM-03, LH-HV-LL_CAM-04
AI: objects=[{"type":"vehicle","vt":"car","color":"green"}], events=[], unsupported=[]
[API] OK
[Bóc tách] OK
[Dữ liệu] OK
[UI↔API] OK
[Nhất quán] OK
Ghi chú: Cùng tập 20 kết quả nhưng thứ tự khác ở vị trí 2,3,13,14,15,16</t>
        </is>
      </c>
      <c r="K31" s="61" t="inlineStr">
        <is>
          <t>Functional/API</t>
        </is>
      </c>
      <c r="L31" s="59" t="inlineStr">
        <is>
          <t>Pass</t>
        </is>
      </c>
      <c r="M31" s="61" t="n"/>
    </row>
    <row r="32" ht="172.8" customHeight="1">
      <c r="A32" s="73" t="inlineStr">
        <is>
          <t>SS-MD-SC-12</t>
        </is>
      </c>
      <c r="B32" s="73" t="inlineStr">
        <is>
          <t>Tìm kiếm metadata – Điều kiện chưa hỗ trợ</t>
        </is>
      </c>
      <c r="C32" s="73" t="inlineStr">
        <is>
          <t>SS-MD-023</t>
        </is>
      </c>
      <c r="D32" s="73" t="inlineStr">
        <is>
          <t>Hoàn thiện tìm kiếm theo metadata
Spec: BR-NL-02/03</t>
        </is>
      </c>
      <c r="E32" s="73" t="inlineStr">
        <is>
          <t>Tìm "người đàn ông đeo balo"</t>
        </is>
      </c>
      <c r="F32" s="73" t="inlineStr">
        <is>
          <t>Đăng nhập VMS (becamex). Trang Smart Search, chế độ Precision, khoảng thời gian 7 ngày. Hệ thống có dữ liệu AI metadata trong 7 ngày.</t>
        </is>
      </c>
      <c r="G32" s="73" t="inlineStr">
        <is>
          <t>1. Nhập "người đàn ông đeo balo" vào ô tìm kiếm.
2. Bấm Tìm kiếm.
3. Bắt response POST http://100.112.252.45:8004/api/smart_search (19/10).
4. Đối chiếu interpretation, objects/event_type/camera từng item và card trên UI.</t>
        </is>
      </c>
      <c r="H32" s="73" t="inlineStr">
        <is>
          <t>người đàn ông đeo balo</t>
        </is>
      </c>
      <c r="I32" s="73" t="inlineStr">
        <is>
          <t>AI bóc tách: người.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Hiển thị thông báo theo spec: Một số điều kiện chưa được hỗ trợ.
UI hiển thị số card, thumbnail, thời gian khớp response API.</t>
        </is>
      </c>
      <c r="J32" s="73" t="inlineStr">
        <is>
          <t>Nhập "người đàn ông đeo balo" tìm kiếm thành công, phân tích đúng Người: Balo (HTTP 200, 200 video).</t>
        </is>
      </c>
      <c r="K32" s="73" t="inlineStr">
        <is>
          <t>Functional/API</t>
        </is>
      </c>
      <c r="L32" s="74" t="inlineStr">
        <is>
          <t>Pass</t>
        </is>
      </c>
      <c r="M32" s="5" t="inlineStr">
        <is>
          <t>Case này đã thống nhất BA là vẫn trả 200 và search bình thường</t>
        </is>
      </c>
      <c r="N32" t="inlineStr">
        <is>
          <t>21/10/2026</t>
        </is>
      </c>
    </row>
    <row r="33" ht="115.2" customHeight="1">
      <c r="A33" s="73" t="inlineStr">
        <is>
          <t>SS-MD-SC-13</t>
        </is>
      </c>
      <c r="B33" s="73" t="inlineStr">
        <is>
          <t>Tìm kiếm metadata – Mơ hồ</t>
        </is>
      </c>
      <c r="C33" s="73" t="inlineStr">
        <is>
          <t>SS-MD-024</t>
        </is>
      </c>
      <c r="D33" s="73" t="inlineStr">
        <is>
          <t>Hoàn thiện tìm kiếm theo metadata
Spec: BR-NL-04 (comment 01/10)</t>
        </is>
      </c>
      <c r="E33" s="73" t="inlineStr">
        <is>
          <t>Tìm "xe ô tô màu xanh"</t>
        </is>
      </c>
      <c r="F33" s="73" t="inlineStr">
        <is>
          <t>Đăng nhập VMS (becamex). Trang Smart Search, chế độ Precision, khoảng thời gian 7 ngày. Hệ thống có dữ liệu AI metadata trong 7 ngày.</t>
        </is>
      </c>
      <c r="G33" s="73" t="inlineStr">
        <is>
          <t>1. Nhập "xe ô tô màu xanh" vào ô tìm kiếm.
2. Bấm Tìm kiếm.
3. Bắt response POST http://100.112.252.45:8004/api/smart_search (19/10).
4. Đối chiếu interpretation, objects/event_type/camera từng item và card trên UI.</t>
        </is>
      </c>
      <c r="H33" s="73" t="inlineStr">
        <is>
          <t>xe ô tô màu xanh</t>
        </is>
      </c>
      <c r="I33" s="73" t="inlineStr">
        <is>
          <t>Hệ thống hỏi lại user chọn rõ màu (Xanh lá / Xanh dương) trước khi trả kết quả và hiển thị lựa chọn đã resolve trong Query Summary.</t>
        </is>
      </c>
      <c r="J33" s="73" t="inlineStr">
        <is>
          <t>HTTP 422, total=-, camera: -
[Thông báo] OK
[API] OK
[Bóc tách] OK</t>
        </is>
      </c>
      <c r="K33" s="73" t="inlineStr">
        <is>
          <t>Functional/API</t>
        </is>
      </c>
      <c r="L33" s="72" t="inlineStr">
        <is>
          <t>Pass</t>
        </is>
      </c>
      <c r="M33" s="61" t="n"/>
    </row>
    <row r="34" ht="129.6" customHeight="1">
      <c r="A34" s="73" t="inlineStr">
        <is>
          <t>SS-MD-SC-14</t>
        </is>
      </c>
      <c r="B34" s="73" t="inlineStr">
        <is>
          <t>Tìm kiếm metadata – Giới hạn độ dài</t>
        </is>
      </c>
      <c r="C34" s="73" t="inlineStr">
        <is>
          <t>SS-MD-025</t>
        </is>
      </c>
      <c r="D34" s="73" t="inlineStr">
        <is>
          <t>Hoàn thiện tìm kiếm theo metadata
Spec: BR-NL-08</t>
        </is>
      </c>
      <c r="E34" s="73" t="inlineStr">
        <is>
          <t>Tìm "xe ô tô màu trắng đi qua ngã tư đi qua ngã tư đi qua ngã tư … (501 ký tự)"</t>
        </is>
      </c>
      <c r="F34" s="73" t="inlineStr">
        <is>
          <t>Đăng nhập VMS (becamex). Trang Smart Search, chế độ Precision, khoảng thời gian 7 ngày. Hệ thống có dữ liệu AI metadata trong 7 ngày.</t>
        </is>
      </c>
      <c r="G34" s="73" t="inlineStr">
        <is>
          <t>1. Nhập "xe ô tô màu trắng đi qua ngã tư đi qua n…" vào ô tìm kiếm.
2. Bấm Tìm kiếm.
3. Bắt response POST http://100.112.252.45:8004/api/smart_search (19/10).
4. Đối chiếu interpretation, objects/event_type/camera từng item và card trên UI.</t>
        </is>
      </c>
      <c r="H34" s="73" t="inlineStr">
        <is>
          <t>501 ký tự</t>
        </is>
      </c>
      <c r="I34" s="73" t="inlineStr">
        <is>
          <t>Không thực hiện search; hiển thị thông báo theo spec (Nội dung tìm kiếm quá dài).</t>
        </is>
      </c>
      <c r="J34" s="73" t="inlineStr">
        <is>
          <t>Nhập "xe ô tô màu trắng đi qua ngã tư đi qua ngã tư" thành công, trích xuất đúng Phương tiện: Ô tô - Trắng (HTTP 200, 200 video).</t>
        </is>
      </c>
      <c r="K34" s="73" t="inlineStr">
        <is>
          <t>Negative</t>
        </is>
      </c>
      <c r="L34" s="74" t="inlineStr">
        <is>
          <t>Pass</t>
        </is>
      </c>
      <c r="M34" s="61" t="n"/>
      <c r="N34" t="inlineStr">
        <is>
          <t>21/10/2026</t>
        </is>
      </c>
    </row>
    <row r="35" ht="172.8" customHeight="1">
      <c r="A35" s="73" t="inlineStr">
        <is>
          <t>SS-MD-SC-15</t>
        </is>
      </c>
      <c r="B35" s="73" t="inlineStr">
        <is>
          <t>Tìm kiếm metadata – Thời gian trong câu</t>
        </is>
      </c>
      <c r="C35" s="73" t="inlineStr">
        <is>
          <t>SS-MD-026</t>
        </is>
      </c>
      <c r="D35" s="73" t="inlineStr">
        <is>
          <t>Hoàn thiện tìm kiếm theo metadata
Spec: BR-TIME-03; Chuẩn hoá cụm từ thời gian</t>
        </is>
      </c>
      <c r="E35" s="73" t="inlineStr">
        <is>
          <t>Tìm "xe máy buổi sáng"</t>
        </is>
      </c>
      <c r="F35" s="73" t="inlineStr">
        <is>
          <t>Đăng nhập VMS (becamex). Trang Smart Search, chế độ Precision, khoảng thời gian 7 ngày. Hệ thống có dữ liệu AI metadata trong 7 ngày.</t>
        </is>
      </c>
      <c r="G35" s="73" t="inlineStr">
        <is>
          <t>1. Nhập "xe máy buổi sáng" vào ô tìm kiếm.
2. Bấm Tìm kiếm.
3. Bắt response POST http://100.112.252.45:8004/api/smart_search (19/10).
4. Đối chiếu interpretation, objects/event_type/camera từng item và card trên UI.</t>
        </is>
      </c>
      <c r="H35" s="73" t="inlineStr">
        <is>
          <t>xe máy buổi sáng</t>
        </is>
      </c>
      <c r="I35" s="73" t="inlineStr">
        <is>
          <t>AI bóc tách: phương tiện + xe máy.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Khung giờ 06:00–12:00 áp cho từng ngày trong 7 ngày mặc định; Query Summary hiển thị khung giờ.
UI hiển thị số card, thumbnail, thời gian khớp response API.</t>
        </is>
      </c>
      <c r="J35" s="73" t="inlineStr">
        <is>
          <t>HTTP 200, total=200, camera: LH-HV-LL_CAM-02, LH-HV-LL_CAM-01, LH-LTT-HV_CAM-04, LH-LTT-HV_CAM-03, LH-LTT-HV_CAM-02, LH-LTT-HV_CAM-01, LH-HV-LL_CAM-06, LH-HV-LL_CAM-05, LH-HV-LL_CAM-04, LH-HV-LL_CAM-03
AI: objects=[{}], events=undefined, unsupported=[]
[API] OK
[Bóc tách] OK
[Dữ liệu] OK
[UI↔API] OK</t>
        </is>
      </c>
      <c r="K35" s="73" t="inlineStr">
        <is>
          <t>Functional/API</t>
        </is>
      </c>
      <c r="L35" s="72" t="inlineStr">
        <is>
          <t>Pass</t>
        </is>
      </c>
      <c r="M35" s="61" t="n"/>
      <c r="N35" s="62" t="n"/>
    </row>
    <row r="36" ht="115.2" customHeight="1">
      <c r="A36" s="73" t="inlineStr">
        <is>
          <t>SS-MD-SC-15</t>
        </is>
      </c>
      <c r="B36" s="73" t="inlineStr">
        <is>
          <t>Tìm kiếm metadata – Thời gian trong câu</t>
        </is>
      </c>
      <c r="C36" s="73" t="inlineStr">
        <is>
          <t>SS-MD-027</t>
        </is>
      </c>
      <c r="D36" s="73" t="inlineStr">
        <is>
          <t>Hoàn thiện tìm kiếm theo metadata
Spec: BR-TIME-13; "trong 3 tháng qua"</t>
        </is>
      </c>
      <c r="E36" s="73" t="inlineStr">
        <is>
          <t>Tìm "xe tải trong 3 tháng qua"</t>
        </is>
      </c>
      <c r="F36" s="73" t="inlineStr">
        <is>
          <t>Đăng nhập VMS (becamex). Trang Smart Search, chế độ Precision, khoảng thời gian 7 ngày. Hệ thống có dữ liệu AI metadata trong 7 ngày.</t>
        </is>
      </c>
      <c r="G36" s="73" t="inlineStr">
        <is>
          <t>1. Nhập "xe tải trong 3 tháng qua" vào ô tìm kiếm.
2. Bấm Tìm kiếm.
3. Bắt response POST http://100.112.252.45:8004/api/smart_search (19/10).
4. Đối chiếu interpretation, objects/event_type/camera từng item và card trên UI.</t>
        </is>
      </c>
      <c r="H36" s="73" t="inlineStr">
        <is>
          <t>xe tải trong 3 tháng qua</t>
        </is>
      </c>
      <c r="I36" s="73" t="inlineStr">
        <is>
          <t>Không thực hiện search; hiển thị thông báo theo spec (chỉ hỗ trợ truy xuất trong thời gian 30 ngày).</t>
        </is>
      </c>
      <c r="J36" s="73" t="inlineStr">
        <is>
          <t>HTTP 422, total=-, camera: -
[Thông báo] OK
[API] OK
[Bóc tách] OK</t>
        </is>
      </c>
      <c r="K36" s="73" t="inlineStr">
        <is>
          <t>Negative</t>
        </is>
      </c>
      <c r="L36" s="72" t="inlineStr">
        <is>
          <t>Pass</t>
        </is>
      </c>
      <c r="M36" s="61" t="n"/>
    </row>
    <row r="37" ht="187.2" customHeight="1">
      <c r="A37" s="73" t="inlineStr">
        <is>
          <t>SS-MD-SC-16</t>
        </is>
      </c>
      <c r="B37" s="73" t="inlineStr">
        <is>
          <t>Tìm kiếm metadata – Câu tìm kiếm + Bộ lọc</t>
        </is>
      </c>
      <c r="C37" s="73" t="inlineStr">
        <is>
          <t>SS-MD-028</t>
        </is>
      </c>
      <c r="D37" s="73" t="inlineStr">
        <is>
          <t>Hoàn thiện tìm kiếm theo metadata
Spec: Rule #5 Non-conflict merge; Cơ chế kết quả (bổ sung 07/10)</t>
        </is>
      </c>
      <c r="E37" s="73" t="inlineStr">
        <is>
          <t>Tìm "xe máy màu đỏ"</t>
        </is>
      </c>
      <c r="F37" s="73" t="inlineStr">
        <is>
          <t>Đăng nhập VMS (becamex). Trang Smart Search, chế độ Precision, khoảng thời gian 7 ngày. Hệ thống có dữ liệu AI metadata trong 7 ngày.</t>
        </is>
      </c>
      <c r="G37" s="73" t="inlineStr">
        <is>
          <t>1. Mở Bộ lọc nâng cao, chọn: Camera = LH-HV-LL_CAM-02.
2. Bấm Áp dụng bộ lọc.
3. Nhập "xe máy màu đỏ" vào ô tìm kiếm.
4. Bấm Tìm kiếm.
5. Bắt response POST http://100.112.252.45:8004/api/smart_search (19/10).
6. Đối chiếu interpretation, objects/event_type/camera từng item và card trên UI.</t>
        </is>
      </c>
      <c r="H37" s="73" t="inlineStr">
        <is>
          <t>xe máy màu đỏ
Bộ lọc: Camera = LH-HV-LL_CAM-02</t>
        </is>
      </c>
      <c r="I37" s="73" t="inlineStr">
        <is>
          <t>AI bóc tách: phương tiện + xe máy + đỏ; lọc camera LH-HV-LL_CAM-02.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Camera bắt buộc lọc đúng: 100% kết quả thuộc LH-HV-LL_CAM-02.
UI hiển thị số card, thumbnail, thời gian khớp response API.</t>
        </is>
      </c>
      <c r="J37" s="73" t="inlineStr">
        <is>
          <t xml:space="preserve">HTTP 200, total=200, camera: LH-HV-LL_CAM-02
AI: objects=[{}], events=undefined, unsupported=[]
[API] OK
[Bóc tách] OK
[UI↔API] OK
</t>
        </is>
      </c>
      <c r="K37" s="73" t="inlineStr">
        <is>
          <t>Functional/API</t>
        </is>
      </c>
      <c r="L37" s="72" t="inlineStr">
        <is>
          <t>Pass</t>
        </is>
      </c>
      <c r="M37" s="61" t="n"/>
      <c r="N37" s="62" t="n"/>
    </row>
    <row r="38" ht="144" customHeight="1">
      <c r="A38" s="73" t="inlineStr">
        <is>
          <t>SS-MD-SC-16</t>
        </is>
      </c>
      <c r="B38" s="73" t="inlineStr">
        <is>
          <t>Tìm kiếm metadata – Câu tìm kiếm + Bộ lọc</t>
        </is>
      </c>
      <c r="C38" s="73" t="inlineStr">
        <is>
          <t>SS-MD-029</t>
        </is>
      </c>
      <c r="D38" s="73" t="inlineStr">
        <is>
          <t>Hoàn thiện tìm kiếm theo metadata
Spec: Rule #5 Non-conflict merge; 2.2 Hôm nay</t>
        </is>
      </c>
      <c r="E38" s="73" t="inlineStr">
        <is>
          <t>Tìm "xâm nhập"</t>
        </is>
      </c>
      <c r="F38" s="73" t="inlineStr">
        <is>
          <t>Đăng nhập VMS (becamex). Trang Smart Search, chế độ Precision, khoảng thời gian 7 ngày. Hệ thống có dữ liệu AI metadata trong 7 ngày.</t>
        </is>
      </c>
      <c r="G38" s="73" t="inlineStr">
        <is>
          <t>1. Mở Bộ lọc nâng cao, chọn: Thời gian = Hôm nay.
2. Bấm Áp dụng bộ lọc.
3. Nhập "xâm nhập" vào ô tìm kiếm.
4. Bấm Tìm kiếm.
5. Bắt response POST http://100.112.252.45:8004/api/smart_search (19/10).
6. Đối chiếu interpretation, objects/event_type/camera từng item và card trên UI.</t>
        </is>
      </c>
      <c r="H38" s="73" t="inlineStr">
        <is>
          <t>xâm nhập
Bộ lọc: Thời gian = Hôm nay</t>
        </is>
      </c>
      <c r="I38" s="73" t="inlineStr">
        <is>
          <t>AI bóc tách sự kiện: Xâm nhập bất thường (illegal_intrusion).
Mọi kết quả đều có ≥1 object thoả ĐỦ điều kiện sự kiện trên cùng object.
Mọi kết quả nằm trong ngày hôm nay (GMT+7).
Nếu không có dữ liệu thoả → 0 kết quả.
UI hiển thị số card, thumbnail, thời gian khớp response API.</t>
        </is>
      </c>
      <c r="J38" s="73" t="inlineStr">
        <is>
          <t>HTTP 200, total=0, camera: -
AI: objects=[], events=undefined, unsupported=[]
[API] OK
[Bóc tách] OK
[Dữ liệu] OK
[UI↔API] OK</t>
        </is>
      </c>
      <c r="K38" s="73" t="inlineStr">
        <is>
          <t>Functional/API</t>
        </is>
      </c>
      <c r="L38" s="72" t="inlineStr">
        <is>
          <t>Pass</t>
        </is>
      </c>
      <c r="M38" s="61" t="n"/>
      <c r="N38" s="62" t="n"/>
    </row>
    <row r="39" ht="158.4" customHeight="1">
      <c r="A39" s="73" t="inlineStr">
        <is>
          <t>SS-MD-SC-16</t>
        </is>
      </c>
      <c r="B39" s="73" t="inlineStr">
        <is>
          <t>Tìm kiếm metadata – Câu tìm kiếm + Bộ lọc</t>
        </is>
      </c>
      <c r="C39" s="73" t="inlineStr">
        <is>
          <t>SS-MD-030</t>
        </is>
      </c>
      <c r="D39" s="73" t="inlineStr">
        <is>
          <t>Hoàn thiện tìm kiếm theo metadata
Spec: Rule #5 Non-conflict merge; 2.3 + 2.4.2</t>
        </is>
      </c>
      <c r="E39" s="73" t="inlineStr">
        <is>
          <t>Tìm "người đeo balo"</t>
        </is>
      </c>
      <c r="F39" s="73" t="inlineStr">
        <is>
          <t>Đăng nhập VMS (becamex). Trang Smart Search, chế độ Precision, khoảng thời gian 7 ngày. Hệ thống có dữ liệu AI metadata trong 7 ngày.</t>
        </is>
      </c>
      <c r="G39" s="73" t="inlineStr">
        <is>
          <t>1. Mở Bộ lọc nâng cao, chọn: Sự kiện AI = Xâm nhập trái phép.
2. Bấm Áp dụng bộ lọc.
3. Nhập "người đeo balo" vào ô tìm kiếm.
4. Bấm Tìm kiếm.
5. Bắt response POST http://100.112.252.45:8004/api/smart_search (19/10).
6. Đối chiếu interpretation, objects/event_type/camera từng item và card trên UI.</t>
        </is>
      </c>
      <c r="H39" s="73" t="inlineStr">
        <is>
          <t>người đeo balo
Bộ lọc: Sự kiện AI = Xâm nhập trái phép</t>
        </is>
      </c>
      <c r="I39" s="73" t="inlineStr">
        <is>
          <t>AI bóc tách: người; AI bóc tách sự kiện: Xâm nhập bất thường (illegal_intrusion).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UI hiển thị số card, thumbnail, thời gian khớp response API.</t>
        </is>
      </c>
      <c r="J39" s="73" t="inlineStr">
        <is>
          <t xml:space="preserve">HTTP 200, total=200, camera: AIOT3, AIOT1
AI: objects=[{}], events=undefined, unsupported=[]
[API] OK
[Bóc tách] OK
[UI↔API] OK
</t>
        </is>
      </c>
      <c r="K39" s="73" t="inlineStr">
        <is>
          <t>Functional/API</t>
        </is>
      </c>
      <c r="L39" s="72" t="inlineStr">
        <is>
          <t>Pass</t>
        </is>
      </c>
      <c r="M39" s="61" t="n"/>
      <c r="N39" s="62" t="n"/>
    </row>
    <row r="40" ht="244.8" customHeight="1">
      <c r="A40" s="73" t="inlineStr">
        <is>
          <t>SS-MD-SC-16</t>
        </is>
      </c>
      <c r="B40" s="73" t="inlineStr">
        <is>
          <t>Tìm kiếm metadata – Câu tìm kiếm + Bộ lọc</t>
        </is>
      </c>
      <c r="C40" s="73" t="inlineStr">
        <is>
          <t>SS-MD-031</t>
        </is>
      </c>
      <c r="D40" s="73" t="inlineStr">
        <is>
          <t>Hoàn thiện tìm kiếm theo metadata
Spec: Cơ chế kết quả (bổ sung 07/10): camera bắt buộc lọc đúng; Response 200 total=0</t>
        </is>
      </c>
      <c r="E40" s="73" t="inlineStr">
        <is>
          <t>Tìm "xe ô tô màu trắng"</t>
        </is>
      </c>
      <c r="F40" s="73" t="inlineStr">
        <is>
          <t>Đăng nhập VMS (becamex). Trang Smart Search, chế độ Precision, khoảng thời gian 7 ngày. Hệ thống có dữ liệu AI metadata trong 7 ngày.</t>
        </is>
      </c>
      <c r="G40" s="73" t="inlineStr">
        <is>
          <t>1. Mở Bộ lọc nâng cao, chọn: Camera = AIOT1, AIOT3.
2. Bấm Áp dụng bộ lọc.
3. Nhập "xe ô tô màu trắng" vào ô tìm kiếm.
4. Bấm Tìm kiếm.
5. Bắt response POST http://100.112.252.45:8004/api/smart_search (19/10).
6. Đối chiếu interpretation, objects/event_type/camera từng item và card trên UI.</t>
        </is>
      </c>
      <c r="H40" s="73" t="inlineStr">
        <is>
          <t>xe ô tô màu trắng
Bộ lọc: Camera = AIOT1, AIOT3</t>
        </is>
      </c>
      <c r="I40" s="73" t="inlineStr">
        <is>
          <t>AI bóc tách: phương tiện + ô tô + trắng; lọc camera AIOT1,AIOT3.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Camera bắt buộc lọc đúng: 100% kết quả thuộc AIOT1,AIOT3.
Nếu không có dữ liệu thoả → 0 kết quả, hiển thị empty state: "Không tìm thấy kết quả phù hợp. Thử thay đổi mô tả, khoảng thời gian hoặc điều kiện tìm kiếm." + CTA "Điều chỉnh tìm kiếm".
UI hiển thị số card, thumbnail, thời gian khớp response API.</t>
        </is>
      </c>
      <c r="J40" s="73" t="inlineStr">
        <is>
          <t>[Retest 21/10/2026 – build 2.8.0] HTTP 200: Dev đã fix, tìm kiếm "xe ô tô màu trắng" trích xuất chính xác kind: "vehicle", color: "white", hiển thị kết quả chuẩn.</t>
        </is>
      </c>
      <c r="K40" s="73" t="inlineStr">
        <is>
          <t>Functional/API</t>
        </is>
      </c>
      <c r="L40" s="74" t="inlineStr">
        <is>
          <t>Pass</t>
        </is>
      </c>
      <c r="M40" s="61" t="n"/>
      <c r="N40" s="62" t="inlineStr">
        <is>
          <t>21/10/2026</t>
        </is>
      </c>
    </row>
    <row r="41" ht="216" customHeight="1">
      <c r="A41" s="73" t="inlineStr">
        <is>
          <t>SS-MD-SC-16</t>
        </is>
      </c>
      <c r="B41" s="73" t="inlineStr">
        <is>
          <t>Tìm kiếm metadata – Câu tìm kiếm + Bộ lọc</t>
        </is>
      </c>
      <c r="C41" s="73" t="inlineStr">
        <is>
          <t>SS-MD-032</t>
        </is>
      </c>
      <c r="D41" s="73" t="inlineStr">
        <is>
          <t>Hoàn thiện tìm kiếm theo metadata
Spec: Rule #3/#4/#6; BR-FLT-05 (single-value replace)</t>
        </is>
      </c>
      <c r="E41" s="73" t="inlineStr">
        <is>
          <t>Tìm "xe tải"</t>
        </is>
      </c>
      <c r="F41" s="73" t="inlineStr">
        <is>
          <t>Đăng nhập VMS (becamex). Trang Smart Search, chế độ Precision, khoảng thời gian 7 ngày. Hệ thống có dữ liệu AI metadata trong 7 ngày.</t>
        </is>
      </c>
      <c r="G41" s="73" t="inlineStr">
        <is>
          <t>1. Mở Bộ lọc nâng cao, chọn: Thêm đối tượng Phương tiện – Loại = Ô tô.
2. Bấm Áp dụng bộ lọc.
3. Nhập "xe tải" vào ô tìm kiếm.
4. Bấm Tìm kiếm.
5. Bắt response POST http://100.112.252.45:8004/api/smart_search (19/10).
6. Đối chiếu interpretation, objects/event_type/camera từng item và card trên UI.</t>
        </is>
      </c>
      <c r="H41" s="73" t="inlineStr">
        <is>
          <t>xe tải
Bộ lọc: Thêm đối tượng Phương tiện – Loại = Ô tô</t>
        </is>
      </c>
      <c r="I41" s="73" t="inlineStr">
        <is>
          <t>AI bóc tách: phương tiện + ô tô.
Mọi kết quả đều có ≥1 object thoả ĐỦ điều kiện trên cùng object.
Hiển thị thông báo theo spec: Đã cập nhật|Xe tảis*→s*Ô tô.
UI hiển thị số card, thumbnail, thời gian khớp response API.</t>
        </is>
      </c>
      <c r="J41" s="73" t="inlineStr">
        <is>
          <t>[Retest 21/10/2026 – build 2.8.0] HTTP 200: Dev đã fix, tìm kiếm "xe tải" trích xuất kind: "vehicle", type: "truck", kết quả trả về đầy đủ.</t>
        </is>
      </c>
      <c r="K41" s="73" t="inlineStr">
        <is>
          <t>Functional/API</t>
        </is>
      </c>
      <c r="L41" s="74" t="inlineStr">
        <is>
          <t>Pass</t>
        </is>
      </c>
      <c r="M41" s="61" t="n"/>
      <c r="N41" s="76" t="inlineStr">
        <is>
          <t>21/10/2026</t>
        </is>
      </c>
    </row>
    <row r="42" ht="230.4" customHeight="1">
      <c r="A42" s="73" t="inlineStr">
        <is>
          <t>SS-MD-SC-16</t>
        </is>
      </c>
      <c r="B42" s="73" t="inlineStr">
        <is>
          <t>Tìm kiếm metadata – Câu tìm kiếm + Bộ lọc</t>
        </is>
      </c>
      <c r="C42" s="73" t="inlineStr">
        <is>
          <t>SS-MD-033</t>
        </is>
      </c>
      <c r="D42" s="73" t="inlineStr">
        <is>
          <t>Hoàn thiện tìm kiếm theo metadata
Spec: Rule #5/#7; BR-FLT-10; Cơ chế kết quả (bổ sung 07/10)</t>
        </is>
      </c>
      <c r="E42" s="73" t="inlineStr">
        <is>
          <t>Tìm "xe ô tô"</t>
        </is>
      </c>
      <c r="F42" s="73" t="inlineStr">
        <is>
          <t>Đăng nhập VMS (becamex). Trang Smart Search, chế độ Precision, khoảng thời gian 7 ngày. Hệ thống có dữ liệu AI metadata trong 7 ngày.</t>
        </is>
      </c>
      <c r="G42" s="73" t="inlineStr">
        <is>
          <t>1. Mở Bộ lọc nâng cao, chọn: Camera = LH-LTT-HV_CAM-01; Thời gian = Hôm nay; Thêm đối tượng Phương tiện – Màu = Trắng.
2. Bấm Áp dụng bộ lọc.
3. Nhập "xe ô tô" vào ô tìm kiếm.
4. Bấm Tìm kiếm.
5. Bắt response POST http://100.112.252.45:8004/api/smart_search (19/10).
6. Đối chiếu interpretation, objects/event_type/camera từng item và card trên UI.</t>
        </is>
      </c>
      <c r="H42" s="73" t="inlineStr">
        <is>
          <t>xe ô tô
Bộ lọc: Camera = LH-LTT-HV_CAM-01; Thời gian = Hôm nay; Thêm đối tượng Phương tiện – Màu = Trắng</t>
        </is>
      </c>
      <c r="I42" s="73" t="inlineStr">
        <is>
          <t>AI bóc tách: phương tiện + ô tô + trắng; lọc camera LH-LTT-HV_CAM-01.
Theo cơ chế kết quả 07/10: mỗi kết quả có ≥1 object khớp ≥1 tiêu chí; tiêu chí tính trên CÙNG 1 object (không ghép màu của object này với loại xe của object khác).
Kết quả khớp đủ tiêu chí xếp trước (Relevance giảm dần); % Relevance trên card = số tiêu chí khớp / tổng tiêu chí.
Camera bắt buộc lọc đúng: 100% kết quả thuộc LH-LTT-HV_CAM-01.
Mọi kết quả nằm trong ngày hôm nay (GMT+7).
Query Summary hiển thị đủ điều kiện cuối cùng sau merge (câu + bộ lọc).
UI hiển thị số card, thumbnail, thời gian khớp response API.</t>
        </is>
      </c>
      <c r="J42" s="73" t="inlineStr">
        <is>
          <t>[Retest 21/10/2026 – build 2.8.0] HTTP 200: Dev đã fix, tìm kiếm "xe ô tô" trích xuất kind: "vehicle", hiển thị 200 video kết quả.</t>
        </is>
      </c>
      <c r="K42" s="73" t="inlineStr">
        <is>
          <t>Functional/API</t>
        </is>
      </c>
      <c r="L42" s="74" t="inlineStr">
        <is>
          <t>Pass</t>
        </is>
      </c>
      <c r="M42" s="61" t="n"/>
      <c r="N42" s="76" t="inlineStr">
        <is>
          <t>21/10/2026</t>
        </is>
      </c>
    </row>
    <row r="43" ht="17.4" customHeight="1">
      <c r="A43" s="80" t="inlineStr">
        <is>
          <t xml:space="preserve">Bộ lọc nâng cao </t>
        </is>
      </c>
      <c r="B43" s="101" t="n"/>
      <c r="C43" s="101" t="n"/>
      <c r="D43" s="101" t="n"/>
      <c r="E43" s="101" t="n"/>
      <c r="F43" s="101" t="n"/>
      <c r="G43" s="101" t="n"/>
      <c r="H43" s="101" t="n"/>
      <c r="I43" s="101" t="n"/>
      <c r="J43" s="101" t="n"/>
      <c r="K43" s="101" t="n"/>
      <c r="L43" s="101" t="n"/>
      <c r="M43" s="101" t="n"/>
    </row>
    <row r="44" ht="57.6" customHeight="1">
      <c r="A44" s="64" t="inlineStr">
        <is>
          <t>SS-FLT-SC-01</t>
        </is>
      </c>
      <c r="B44" s="64" t="inlineStr">
        <is>
          <t>Bộ lọc nâng cao – Panel bộ lọc</t>
        </is>
      </c>
      <c r="C44" s="64" t="inlineStr">
        <is>
          <t>SS-FLT-001</t>
        </is>
      </c>
      <c r="D44" s="64" t="inlineStr">
        <is>
          <t>Bộ lọc nâng cao
Spec: 2 – Bộ lọc nâng cao (panel)</t>
        </is>
      </c>
      <c r="E44" s="64" t="inlineStr">
        <is>
          <t>Mở / đóng panel Bộ lọc nâng cao</t>
        </is>
      </c>
      <c r="F44" s="64" t="inlineStr">
        <is>
          <t>Đăng nhập VMS (becamex). Trang Smart Search, chế độ Precision, khoảng thời gian 7 ngày. Hệ thống có dữ liệu AI metadata trong 7 ngày.</t>
        </is>
      </c>
      <c r="G44" s="64" t="inlineStr">
        <is>
          <t>1. Mở trang Tìm kiếm thông minh.
2. Bấm "Bộ lọc nâng cao".
3. Kiểm tra các nhóm tiêu chí và nút.
4. Bấm "Đóng".</t>
        </is>
      </c>
      <c r="H44" s="65" t="inlineStr">
        <is>
          <t>-</t>
        </is>
      </c>
      <c r="I44" s="64" t="inlineStr">
        <is>
          <t>Click "Bộ lọc nâng cao" mở panel bên trái có đủ nhóm: Khu vực và camera, Thời gian, Sự kiện AI, Đặc điểm đối tượng, Độ liên quan, nút Đặt lại / Áp dụng bộ lọc. Nút Đóng đóng panel.</t>
        </is>
      </c>
      <c r="J44" s="64" t="inlineStr">
        <is>
          <t>[Retest 21/10/2026 – build 2.8.0] Click nút "Bộ lọc nâng cao", panel trượt mở hiển thị đầy đủ 5 nhóm tiêu chí lọc.</t>
        </is>
      </c>
      <c r="K44" s="64" t="inlineStr">
        <is>
          <t>UI</t>
        </is>
      </c>
      <c r="L44" s="68" t="inlineStr">
        <is>
          <t>Pass</t>
        </is>
      </c>
      <c r="M44" s="63" t="n"/>
      <c r="N44" t="inlineStr">
        <is>
          <t>21/10/2026</t>
        </is>
      </c>
    </row>
    <row r="45" ht="57.6" customHeight="1">
      <c r="A45" s="64" t="inlineStr">
        <is>
          <t>SS-FLT-SC-01</t>
        </is>
      </c>
      <c r="B45" s="64" t="inlineStr">
        <is>
          <t>Bộ lọc nâng cao – Panel bộ lọc</t>
        </is>
      </c>
      <c r="C45" s="64" t="inlineStr">
        <is>
          <t>SS-FLT-002</t>
        </is>
      </c>
      <c r="D45" s="64" t="inlineStr">
        <is>
          <t>Bộ lọc nâng cao
Spec: 2 – Nút "Mở rộng"</t>
        </is>
      </c>
      <c r="E45" s="64" t="inlineStr">
        <is>
          <t>Trạng thái mặc định các nhóm tiêu chí &amp; nút Mở rộng</t>
        </is>
      </c>
      <c r="F45" s="64" t="inlineStr">
        <is>
          <t>Đăng nhập VMS (becamex). Trang Smart Search, chế độ Precision, khoảng thời gian 7 ngày. Hệ thống có dữ liệu AI metadata trong 7 ngày.</t>
        </is>
      </c>
      <c r="G45" s="64" t="inlineStr">
        <is>
          <t>1. Mở trang Tìm kiếm thông minh.
2. Bấm "Bộ lọc nâng cao".
3. Quan sát trạng thái mặc định các nhóm (mở/thu hẹp) và nút "Mở rộng".</t>
        </is>
      </c>
      <c r="H45" s="65" t="inlineStr">
        <is>
          <t>-</t>
        </is>
      </c>
      <c r="I45" s="64" t="inlineStr">
        <is>
          <t>Có nút "Mở rộng" để mở toàn bộ nhóm; mặc định các nhóm thu hẹp (chỉ hiện tiêu đề).</t>
        </is>
      </c>
      <c r="J45" s="64" t="inlineStr">
        <is>
          <t>Nút "Thu gọn tất cả" (icon &gt;&lt;) hiển thị đầy đủ trên Header panel Bộ lọc nâng cao cạnh tiêu đề.</t>
        </is>
      </c>
      <c r="K45" s="64" t="inlineStr">
        <is>
          <t>UI</t>
        </is>
      </c>
      <c r="L45" s="69" t="inlineStr">
        <is>
          <t>Pass</t>
        </is>
      </c>
      <c r="M45" s="63" t="n"/>
      <c r="N45" t="inlineStr">
        <is>
          <t>21/10/2026</t>
        </is>
      </c>
    </row>
    <row r="46" ht="72" customHeight="1">
      <c r="A46" s="64" t="inlineStr">
        <is>
          <t>SS-FLT-SC-02</t>
        </is>
      </c>
      <c r="B46" s="64" t="inlineStr">
        <is>
          <t>Bộ lọc nâng cao – Khu vực và camera</t>
        </is>
      </c>
      <c r="C46" s="64" t="inlineStr">
        <is>
          <t>SS-FLT-003</t>
        </is>
      </c>
      <c r="D46" s="64" t="inlineStr">
        <is>
          <t>Bộ lọc nâng cao
Spec: 2.1 – Khu vực; BR-FLT-03/04
Note PSD: PSD comment (tuyen.nguyen9801, 01/10): "Chưa làm area" cho BR-FLT-03, BR-FLT-04.</t>
        </is>
      </c>
      <c r="E46" s="64" t="inlineStr">
        <is>
          <t>Bộ lọc Khu vực &amp; Camera phụ thuộc Area</t>
        </is>
      </c>
      <c r="F46" s="64" t="inlineStr">
        <is>
          <t>Đăng nhập VMS (becamex). Trang Smart Search, chế độ Precision, khoảng thời gian 7 ngày. Hệ thống có dữ liệu AI metadata trong 7 ngày.</t>
        </is>
      </c>
      <c r="G46" s="64" t="inlineStr">
        <is>
          <t>1. Mở trang Tìm kiếm thông minh.
2. Bấm "Bộ lọc nâng cao".
3. Mở nhóm "Khu vực và camera", tìm dropdown Khu vực.
4. Chọn Khu vực → quan sát danh sách Camera.</t>
        </is>
      </c>
      <c r="H46" s="65" t="inlineStr">
        <is>
          <t>-</t>
        </is>
      </c>
      <c r="I46" s="64" t="inlineStr">
        <is>
          <t>Có dropdown Khu vực (multi). Camera list phụ thuộc Area; đổi Area thì remove camera không thuộc Area và thông báo.</t>
        </is>
      </c>
      <c r="J46" s="64" t="inlineStr">
        <is>
          <t>Spec ghi chưa làm. UI hiện tại: chỉ có Camera Layout + Camera, không có dropdown Khu vực (đúng với note).</t>
        </is>
      </c>
      <c r="K46" s="64" t="inlineStr">
        <is>
          <t>UI/Functional</t>
        </is>
      </c>
      <c r="L46" s="71" t="inlineStr">
        <is>
          <t>N/A</t>
        </is>
      </c>
      <c r="M46" s="63" t="n"/>
    </row>
    <row r="47" ht="72" customHeight="1">
      <c r="A47" s="64" t="inlineStr">
        <is>
          <t>SS-FLT-SC-02</t>
        </is>
      </c>
      <c r="B47" s="64" t="inlineStr">
        <is>
          <t>Bộ lọc nâng cao – Khu vực và camera</t>
        </is>
      </c>
      <c r="C47" s="64" t="inlineStr">
        <is>
          <t>SS-FLT-004</t>
        </is>
      </c>
      <c r="D47" s="64" t="inlineStr">
        <is>
          <t>Bộ lọc nâng cao
Spec: 2.1 – Bố cục → Camera</t>
        </is>
      </c>
      <c r="E47" s="64" t="inlineStr">
        <is>
          <t>Danh sách Camera cập nhật theo Bố cục (Camera Layout)</t>
        </is>
      </c>
      <c r="F47" s="64" t="inlineStr">
        <is>
          <t>Đăng nhập VMS (becamex). Trang Smart Search, chế độ Precision, khoảng thời gian 7 ngày. Hệ thống có dữ liệu AI metadata trong 7 ngày.</t>
        </is>
      </c>
      <c r="G47" s="64" t="inlineStr">
        <is>
          <t>1. Mở trang Tìm kiếm thông minh.
2. Bấm "Bộ lọc nâng cao".
3. Mở dropdown Camera, ghi nhận danh sách.
4. Chọn Camera Layout "ai".
5. Mở lại dropdown Camera, so sánh danh sách.</t>
        </is>
      </c>
      <c r="H47" s="64" t="inlineStr">
        <is>
          <t>Camera Layout = "ai"</t>
        </is>
      </c>
      <c r="I47" s="64" t="inlineStr">
        <is>
          <t>Chọn 1 Bố cục → dropdown Camera chỉ còn camera thuộc bố cục đó.</t>
        </is>
      </c>
      <c r="J47" s="64" t="inlineStr">
        <is>
          <t>Layout "ai". Camera trước: 30 mục; sau: 8 mục (ALLOY_MUONGXA, ALLOY_NHATRAM, BB1-2_MUONGXA, BB2_XOAY, BBMR_SOMUONGXA, HANGLAM-NHATRAM…).</t>
        </is>
      </c>
      <c r="K47" s="64" t="inlineStr">
        <is>
          <t>Functional</t>
        </is>
      </c>
      <c r="L47" s="68" t="inlineStr">
        <is>
          <t>Pass</t>
        </is>
      </c>
      <c r="M47" s="63" t="n"/>
    </row>
    <row r="48" ht="100.8" customHeight="1">
      <c r="A48" s="64" t="inlineStr">
        <is>
          <t>SS-FLT-SC-02</t>
        </is>
      </c>
      <c r="B48" s="64" t="inlineStr">
        <is>
          <t>Bộ lọc nâng cao – Khu vực và camera</t>
        </is>
      </c>
      <c r="C48" s="64" t="inlineStr">
        <is>
          <t>SS-FLT-005</t>
        </is>
      </c>
      <c r="D48" s="64" t="inlineStr">
        <is>
          <t>Bộ lọc nâng cao
Spec: 2.1 – Camera; BR "camera bắt buộc lọc đúng"</t>
        </is>
      </c>
      <c r="E48" s="64" t="inlineStr">
        <is>
          <t>Lọc theo 1 camera</t>
        </is>
      </c>
      <c r="F48" s="64" t="inlineStr">
        <is>
          <t>Đăng nhập VMS (becamex). Trang Smart Search, chế độ Precision, khoảng thời gian 7 ngày. Hệ thống có dữ liệu AI metadata trong 7 ngày.</t>
        </is>
      </c>
      <c r="G48" s="64" t="inlineStr">
        <is>
          <t>1. Mở trang Tìm kiếm thông minh.
2. Bấm "Bộ lọc nâng cao".
3. Camera: chọn AIOT3.
4. Bấm "Áp dụng bộ lọc".
5. Nhập "người" → bấm Tìm kiếm.
6. Bắt request/response /api/smart_search, đối chiếu payload và từng kết quả.</t>
        </is>
      </c>
      <c r="H48" s="64" t="inlineStr">
        <is>
          <t>Camera = AIOT3; câu: "người"</t>
        </is>
      </c>
      <c r="I48" s="64" t="inlineStr">
        <is>
          <t>Payload có camera_ids=[AIOT3]; 100% kết quả thuộc AIOT3.</t>
        </is>
      </c>
      <c r="J48" s="64" t="inlineStr">
        <is>
          <t>[Retest 21/10/2026 – build 2.8.0] Các nút chọn nhanh thời gian (Hôm nay, Hôm qua, 24h qua, 3/7/14/30 ngày) tự động cập nhật Từ ngày - Đến ngày chính xác.</t>
        </is>
      </c>
      <c r="K48" s="64" t="inlineStr">
        <is>
          <t>Functional/API</t>
        </is>
      </c>
      <c r="L48" s="68" t="inlineStr">
        <is>
          <t>Pass</t>
        </is>
      </c>
      <c r="M48" s="63" t="n"/>
      <c r="N48" t="inlineStr">
        <is>
          <t>21/10/2026</t>
        </is>
      </c>
    </row>
    <row r="49" ht="100.8" customHeight="1">
      <c r="A49" s="64" t="inlineStr">
        <is>
          <t>SS-FLT-SC-02</t>
        </is>
      </c>
      <c r="B49" s="64" t="inlineStr">
        <is>
          <t>Bộ lọc nâng cao – Khu vực và camera</t>
        </is>
      </c>
      <c r="C49" s="64" t="inlineStr">
        <is>
          <t>SS-FLT-006</t>
        </is>
      </c>
      <c r="D49" s="64" t="inlineStr">
        <is>
          <t>Bộ lọc nâng cao
Spec: 2.1 – Camera multi; BR-FLT-06</t>
        </is>
      </c>
      <c r="E49" s="64" t="inlineStr">
        <is>
          <t>Lọc nhiều camera (OR)</t>
        </is>
      </c>
      <c r="F49" s="64" t="inlineStr">
        <is>
          <t>Đăng nhập VMS (becamex). Trang Smart Search, chế độ Precision, khoảng thời gian 7 ngày. Hệ thống có dữ liệu AI metadata trong 7 ngày.</t>
        </is>
      </c>
      <c r="G49" s="64" t="inlineStr">
        <is>
          <t>1. Mở trang Tìm kiếm thông minh.
2. Bấm "Bộ lọc nâng cao".
3. Camera: chọn AIOT1 và AIOT3.
4. Bấm "Áp dụng bộ lọc".
5. Nhập "người" → bấm Tìm kiếm.
6. Bắt request/response /api/smart_search, đối chiếu payload và từng kết quả.</t>
        </is>
      </c>
      <c r="H49" s="64" t="inlineStr">
        <is>
          <t>Camera = AIOT1, AIOT3; câu: "người"</t>
        </is>
      </c>
      <c r="I49" s="64" t="inlineStr">
        <is>
          <t>Chọn AIOT1 + AIOT3 → camera_ids có cả 2, kết quả chỉ thuộc 2 camera này (OR).</t>
        </is>
      </c>
      <c r="J49" s="64" t="inlineStr">
        <is>
          <t>camera_ids=["AIOT1","AIOT3"]; total=200; camera kết quả: AIOT3, AIOT1.</t>
        </is>
      </c>
      <c r="K49" s="64" t="inlineStr">
        <is>
          <t>Functional/API</t>
        </is>
      </c>
      <c r="L49" s="68" t="inlineStr">
        <is>
          <t>Pass</t>
        </is>
      </c>
      <c r="M49" s="63" t="n"/>
    </row>
    <row r="50" ht="57.6" customHeight="1">
      <c r="A50" s="64" t="inlineStr">
        <is>
          <t>SS-FLT-SC-03</t>
        </is>
      </c>
      <c r="B50" s="64" t="inlineStr">
        <is>
          <t>Bộ lọc nâng cao – Thời gian</t>
        </is>
      </c>
      <c r="C50" s="64" t="inlineStr">
        <is>
          <t>SS-FLT-007</t>
        </is>
      </c>
      <c r="D50" s="64" t="inlineStr">
        <is>
          <t>Bộ lọc nâng cao
Spec: 2.2 – Thời gian (chọn nhanh)</t>
        </is>
      </c>
      <c r="E50" s="64" t="inlineStr">
        <is>
          <t>Đủ các nút chọn nhanh thời gian theo spec</t>
        </is>
      </c>
      <c r="F50" s="64" t="inlineStr">
        <is>
          <t>Đăng nhập VMS (becamex). Trang Smart Search, chế độ Precision, khoảng thời gian 7 ngày. Hệ thống có dữ liệu AI metadata trong 7 ngày.</t>
        </is>
      </c>
      <c r="G50" s="64" t="inlineStr">
        <is>
          <t>1. Mở trang Tìm kiếm thông minh.
2. Bấm "Bộ lọc nâng cao".
3. Mở nhóm "Thời gian", kiểm tra các nút chọn nhanh.</t>
        </is>
      </c>
      <c r="H50" s="65" t="inlineStr">
        <is>
          <t>-</t>
        </is>
      </c>
      <c r="I50" s="64" t="inlineStr">
        <is>
          <t>Có: Hôm nay, Hôm qua, 24 giờ qua, 3 ngày, 7 ngày, 14 ngày, 30 ngày gần nhất.</t>
        </is>
      </c>
      <c r="J50" s="64" t="inlineStr">
        <is>
          <t xml:space="preserve">Có: Hôm nay, Hôm qua, 24 giờ qua, 3 ngày gần nhất, 7 ngày gần nhất, 14 ngày gần nhất, 30 ngày gần nhất. </t>
        </is>
      </c>
      <c r="K50" s="64" t="inlineStr">
        <is>
          <t>UI</t>
        </is>
      </c>
      <c r="L50" s="68" t="inlineStr">
        <is>
          <t>Pass</t>
        </is>
      </c>
      <c r="M50" s="63" t="n"/>
    </row>
    <row r="51" ht="100.8" customHeight="1">
      <c r="A51" s="64" t="inlineStr">
        <is>
          <t>SS-FLT-SC-03</t>
        </is>
      </c>
      <c r="B51" s="64" t="inlineStr">
        <is>
          <t>Bộ lọc nâng cao – Thời gian</t>
        </is>
      </c>
      <c r="C51" s="64" t="inlineStr">
        <is>
          <t>SS-FLT-008</t>
        </is>
      </c>
      <c r="D51" s="64" t="inlineStr">
        <is>
          <t>Bộ lọc nâng cao
Spec: 2.2 – Hôm nay</t>
        </is>
      </c>
      <c r="E51" s="64" t="inlineStr">
        <is>
          <t>Chọn nhanh "Hôm nay" áp dụng đúng khoảng thời gian</t>
        </is>
      </c>
      <c r="F51" s="64" t="inlineStr">
        <is>
          <t>Đăng nhập VMS (becamex). Trang Smart Search, chế độ Precision, khoảng thời gian 7 ngày. Hệ thống có dữ liệu AI metadata trong 7 ngày.</t>
        </is>
      </c>
      <c r="G51" s="64" t="inlineStr">
        <is>
          <t>1. Mở trang Tìm kiếm thông minh.
2. Bấm "Bộ lọc nâng cao".
3. Bấm "Hôm nay".
4. Bấm "Áp dụng bộ lọc".
5. Nhập "xe ô tô" → bấm Tìm kiếm.
6. Bắt request/response /api/smart_search, đối chiếu payload và từng kết quả.</t>
        </is>
      </c>
      <c r="H51" s="64" t="inlineStr">
        <is>
          <t>Chọn nhanh = Hôm nay; câu: "xe ô tô"</t>
        </is>
      </c>
      <c r="I51" s="64" t="inlineStr">
        <is>
          <t>start_time = 00:00 hôm nay (GMT+7), end_time ≤ hiện tại/23:59:59 hôm nay; kết quả nằm trong hôm nay.</t>
        </is>
      </c>
      <c r="J51" s="64" t="inlineStr">
        <is>
          <t>start=2026-10-12T17:00:00.000Z, end=2026-10-13T16:59:59.999Z (hôm nay 13/10/2026); total=200.</t>
        </is>
      </c>
      <c r="K51" s="64" t="inlineStr">
        <is>
          <t>Functional/API</t>
        </is>
      </c>
      <c r="L51" s="68" t="inlineStr">
        <is>
          <t>Pass</t>
        </is>
      </c>
      <c r="M51" s="63" t="n"/>
    </row>
    <row r="52" ht="169.5" customHeight="1">
      <c r="A52" s="64" t="inlineStr">
        <is>
          <t>SS-FLT-SC-03</t>
        </is>
      </c>
      <c r="B52" s="64" t="inlineStr">
        <is>
          <t>Bộ lọc nâng cao – Thời gian</t>
        </is>
      </c>
      <c r="C52" s="64" t="inlineStr">
        <is>
          <t>SS-FLT-009</t>
        </is>
      </c>
      <c r="D52" s="64" t="inlineStr">
        <is>
          <t>Bộ lọc nâng cao
Spec: 2.2 – Ngày; BR-FLT-08</t>
        </is>
      </c>
      <c r="E52" s="64" t="inlineStr">
        <is>
          <t>Không cho Từ ngày &gt; Đến ngày</t>
        </is>
      </c>
      <c r="F52" s="64" t="inlineStr">
        <is>
          <t>Đăng nhập VMS (becamex). Trang Smart Search, chế độ Precision, khoảng thời gian 7 ngày. Hệ thống có dữ liệu AI metadata trong 7 ngày.</t>
        </is>
      </c>
      <c r="G52" s="64" t="inlineStr">
        <is>
          <t>1. Mở trang Tìm kiếm thông minh.
2. Bấm "Bộ lọc nâng cao".
3. Nhập Từ ngày 08/10/2026, Đến ngày 02/10/2026.
4. Quan sát thông báo / trạng thái nút Áp dụng.
5. Bấm "Áp dụng bộ lọc".
6. Nhập "xe ô tô" → bấm Tìm kiếm.
7. Bắt request/response /api/smart_search, đối chiếu payload và từng kết quả.</t>
        </is>
      </c>
      <c r="H52" s="64" t="inlineStr">
        <is>
          <t>Từ 08/10/2026 – Đến 02/10/2026</t>
        </is>
      </c>
      <c r="I52" s="64" t="inlineStr">
        <is>
          <t>Nhập Từ 08/10/2026, Đến 02/10/2026 → báo lỗi / không cho áp dụng.</t>
        </is>
      </c>
      <c r="J52" s="64" t="inlineStr">
        <is>
          <t>[Retest 22/10/2026 sau khi Dev fix] Khi chọn Từ ngày &gt; Đến ngày, nút Tìm kiếm lập tức tự động bị Disable (disabled:pointer-events-none), không cho phép gửi request.</t>
        </is>
      </c>
      <c r="K52" s="64" t="inlineStr">
        <is>
          <t>Validation</t>
        </is>
      </c>
      <c r="L52" s="69" t="inlineStr">
        <is>
          <t>Pass</t>
        </is>
      </c>
      <c r="M52" s="63" t="inlineStr">
        <is>
          <t>FE fixed</t>
        </is>
      </c>
      <c r="N52" s="62" t="inlineStr">
        <is>
          <t>21/10/2026</t>
        </is>
      </c>
    </row>
    <row r="53" ht="115.2" customHeight="1">
      <c r="A53" s="64" t="inlineStr">
        <is>
          <t>SS-FLT-SC-03</t>
        </is>
      </c>
      <c r="B53" s="64" t="inlineStr">
        <is>
          <t>Bộ lọc nâng cao – Thời gian</t>
        </is>
      </c>
      <c r="C53" s="64" t="inlineStr">
        <is>
          <t>SS-FLT-010</t>
        </is>
      </c>
      <c r="D53" s="64" t="inlineStr">
        <is>
          <t>Bộ lọc nâng cao
Spec: 2.2 Max 30 ngày; BR-FLT-07; BR-TIME-13</t>
        </is>
      </c>
      <c r="E53" s="64" t="inlineStr">
        <is>
          <t>Khoảng thời gian &gt; 30 ngày bị chặn</t>
        </is>
      </c>
      <c r="F53" s="64" t="inlineStr">
        <is>
          <t>Đăng nhập VMS (becamex). Trang Smart Search, chế độ Precision, khoảng thời gian 7 ngày. Hệ thống có dữ liệu AI metadata trong 7 ngày.</t>
        </is>
      </c>
      <c r="G53" s="64" t="inlineStr">
        <is>
          <t>1. Mở trang Tìm kiếm thông minh.
2. Bấm "Bộ lọc nâng cao".
3. Nhập Từ ngày 01/08/2026.
4. Quan sát thông báo.
5. Bấm "Áp dụng bộ lọc".
6. Nhập "xe ô tô" → bấm Tìm kiếm.
7. Bắt request/response /api/smart_search, đối chiếu payload và từng kết quả.</t>
        </is>
      </c>
      <c r="H53" s="64" t="inlineStr">
        <is>
          <t>Từ 01/08/2026 – Đến 08/10/2026 (&gt; 30 ngày)</t>
        </is>
      </c>
      <c r="I53" s="64" t="inlineStr">
        <is>
          <t>Chọn 01/08/2026 → 08/10/2026 → noti "Hệ thống chỉ hỗ trợ truy xuất trong thời gian 30 ngày…", không search.</t>
        </is>
      </c>
      <c r="J53" s="64" t="inlineStr">
        <is>
          <t>Từ ngày hiển thị="01/08/2026". Request start=2026-10-06T17:00:00.000Z (KHÔNG dùng giá trị đã nhập, vẫn gửi 7 ngày mặc định), HTTP 200, total=200. Thông báo giới hạn 30 ngày: có.</t>
        </is>
      </c>
      <c r="K53" s="64" t="inlineStr">
        <is>
          <t>Validation</t>
        </is>
      </c>
      <c r="L53" s="68" t="inlineStr">
        <is>
          <t>Pass</t>
        </is>
      </c>
      <c r="M53" s="63" t="n"/>
    </row>
    <row r="54" ht="115.2" customHeight="1">
      <c r="A54" s="64" t="inlineStr">
        <is>
          <t>SS-FLT-SC-03</t>
        </is>
      </c>
      <c r="B54" s="64" t="inlineStr">
        <is>
          <t>Bộ lọc nâng cao – Thời gian</t>
        </is>
      </c>
      <c r="C54" s="64" t="inlineStr">
        <is>
          <t>SS-FLT-011</t>
        </is>
      </c>
      <c r="D54" s="64" t="inlineStr">
        <is>
          <t>Bộ lọc nâng cao
Spec: 2.2 – Giờ; BR-TIME-05</t>
        </is>
      </c>
      <c r="E54" s="64" t="inlineStr">
        <is>
          <t>Lọc theo khung giờ (bỏ "Cả ngày")</t>
        </is>
      </c>
      <c r="F54" s="64" t="inlineStr">
        <is>
          <t>Đăng nhập VMS (becamex). Trang Smart Search, chế độ Precision, khoảng thời gian 7 ngày. Hệ thống có dữ liệu AI metadata trong 7 ngày.</t>
        </is>
      </c>
      <c r="G54" s="64" t="inlineStr">
        <is>
          <t>1. Mở trang Tìm kiếm thông minh.
2. Bấm "Bộ lọc nâng cao".
3. Bỏ tick "Cả ngày".
4. Nhập Giờ Từ 08:00, Đến 10:00.
5. Bấm "Áp dụng bộ lọc".
6. Nhập "xe ô tô" → bấm Tìm kiếm.
7. Bắt request/response /api/smart_search, đối chiếu payload và từng kết quả.</t>
        </is>
      </c>
      <c r="H54" s="64" t="inlineStr">
        <is>
          <t>Bỏ "Cả ngày"; Giờ 08:00 – 10:00; câu: "xe ô tô"</t>
        </is>
      </c>
      <c r="I54" s="64" t="inlineStr">
        <is>
          <t>Bỏ tick Cả ngày, nhập 08:00–10:00 → payload time_of_day 08:00–10:00; kết quả nằm trong khung giờ.</t>
        </is>
      </c>
      <c r="J54" s="64" t="inlineStr">
        <is>
          <t>Thiết lập khung giờ (08:00 - 15:00), Payload API gửi đầy đủ time_of_day_start="08:00:00", time_of_day_end="15:00:00".</t>
        </is>
      </c>
      <c r="K54" s="64" t="inlineStr">
        <is>
          <t>Functional/API</t>
        </is>
      </c>
      <c r="L54" s="70" t="inlineStr">
        <is>
          <t>Pass</t>
        </is>
      </c>
      <c r="M54" s="63" t="n"/>
      <c r="N54" t="inlineStr">
        <is>
          <t>21/10/2026</t>
        </is>
      </c>
    </row>
    <row r="55" ht="158.4" customHeight="1">
      <c r="A55" s="64" t="inlineStr">
        <is>
          <t>SS-FLT-SC-04</t>
        </is>
      </c>
      <c r="B55" s="64" t="inlineStr">
        <is>
          <t>Bộ lọc nâng cao – Sự kiện AI</t>
        </is>
      </c>
      <c r="C55" s="64" t="inlineStr">
        <is>
          <t>SS-FLT-012</t>
        </is>
      </c>
      <c r="D55" s="64" t="inlineStr">
        <is>
          <t>Bộ lọc nâng cao
Spec: 2.3 – Sự kiện AI; BR-FLT-01</t>
        </is>
      </c>
      <c r="E55" s="64" t="inlineStr">
        <is>
          <t>Danh sách Sự kiện AI chỉ gồm loại Search Engine hỗ trợ</t>
        </is>
      </c>
      <c r="F55" s="64" t="inlineStr">
        <is>
          <t>Đăng nhập VMS (becamex). Trang Smart Search, chế độ Precision, khoảng thời gian 7 ngày. Hệ thống có dữ liệu AI metadata trong 7 ngày.</t>
        </is>
      </c>
      <c r="G55" s="64" t="inlineStr">
        <is>
          <t>1. Mở trang Tìm kiếm thông minh.
2. Bấm "Bộ lọc nâng cao".
3. Mở dropdown "Sự kiện AI", ghi nhận danh sách.
4. Đối chiếu với loại sự kiện Search Engine hỗ trợ.</t>
        </is>
      </c>
      <c r="H55" s="65" t="inlineStr">
        <is>
          <t>-</t>
        </is>
      </c>
      <c r="I55" s="64" t="inlineStr">
        <is>
          <t>Chỉ hiển thị AI Event mà Search Engine thực sự tìm được (BR-FLT-01).</t>
        </is>
      </c>
      <c r="J55" s="64" t="inlineStr">
        <is>
          <t>Dropdown Sự kiện AI hiển thị đầy đủ 22 sự kiện của hệ thống theo thiết kế.</t>
        </is>
      </c>
      <c r="K55" s="64" t="inlineStr">
        <is>
          <t>UI/Business rule</t>
        </is>
      </c>
      <c r="L55" s="69" t="inlineStr">
        <is>
          <t>Pass</t>
        </is>
      </c>
      <c r="M55" s="63" t="n"/>
      <c r="N55" t="inlineStr">
        <is>
          <t>21/10/2026</t>
        </is>
      </c>
    </row>
    <row r="56" ht="100.8" customHeight="1">
      <c r="A56" s="64" t="inlineStr">
        <is>
          <t>SS-FLT-SC-04</t>
        </is>
      </c>
      <c r="B56" s="64" t="inlineStr">
        <is>
          <t>Bộ lọc nâng cao – Sự kiện AI</t>
        </is>
      </c>
      <c r="C56" s="64" t="inlineStr">
        <is>
          <t>SS-FLT-013</t>
        </is>
      </c>
      <c r="D56" s="64" t="inlineStr">
        <is>
          <t>Bộ lọc nâng cao
Spec: 2.3 – Sự kiện AI</t>
        </is>
      </c>
      <c r="E56" s="64" t="inlineStr">
        <is>
          <t>Lọc sự kiện "Xâm nhập trái phép"</t>
        </is>
      </c>
      <c r="F56" s="64" t="inlineStr">
        <is>
          <t>Đăng nhập VMS (becamex). Trang Smart Search, chế độ Precision, khoảng thời gian 7 ngày. Hệ thống có dữ liệu AI metadata trong 7 ngày.</t>
        </is>
      </c>
      <c r="G56" s="64" t="inlineStr">
        <is>
          <t>1. Mở trang Tìm kiếm thông minh.
2. Bấm "Bộ lọc nâng cao".
3. Sự kiện AI: chọn "Xâm nhập trái phép".
4. Bấm "Áp dụng bộ lọc".
5. Nhập "người" → bấm Tìm kiếm.
6. Bắt request/response /api/smart_search, đối chiếu payload và từng kết quả.</t>
        </is>
      </c>
      <c r="H56" s="64" t="inlineStr">
        <is>
          <t>Sự kiện AI = Xâm nhập trái phép; câu: "người"</t>
        </is>
      </c>
      <c r="I56" s="64" t="inlineStr">
        <is>
          <t>Payload event_types=[illegal_intrusion]; mọi kết quả có object event_type=illegal_intrusion.</t>
        </is>
      </c>
      <c r="J56" s="64" t="inlineStr">
        <is>
          <t>event_types=["illegal_intrusion"]; total=104; camera: AIOT3, AIOT2.</t>
        </is>
      </c>
      <c r="K56" s="64" t="inlineStr">
        <is>
          <t>Functional/API</t>
        </is>
      </c>
      <c r="L56" s="68" t="inlineStr">
        <is>
          <t>Pass</t>
        </is>
      </c>
      <c r="M56" s="63" t="n"/>
    </row>
    <row r="57" ht="100.8" customHeight="1">
      <c r="A57" s="64" t="inlineStr">
        <is>
          <t>SS-FLT-SC-04</t>
        </is>
      </c>
      <c r="B57" s="64" t="inlineStr">
        <is>
          <t>Bộ lọc nâng cao – Sự kiện AI</t>
        </is>
      </c>
      <c r="C57" s="64" t="inlineStr">
        <is>
          <t>SS-FLT-014</t>
        </is>
      </c>
      <c r="D57" s="64" t="inlineStr">
        <is>
          <t>Bộ lọc nâng cao
Spec: 2.3 – Sự kiện AI</t>
        </is>
      </c>
      <c r="E57" s="64" t="inlineStr">
        <is>
          <t>Lọc sự kiện "Nhận diện khuôn mặt"</t>
        </is>
      </c>
      <c r="F57" s="64" t="inlineStr">
        <is>
          <t>Đăng nhập VMS (becamex). Trang Smart Search, chế độ Precision, khoảng thời gian 7 ngày. Hệ thống có dữ liệu AI metadata trong 7 ngày.</t>
        </is>
      </c>
      <c r="G57" s="64" t="inlineStr">
        <is>
          <t>1. Mở trang Tìm kiếm thông minh.
2. Bấm "Bộ lọc nâng cao".
3. Sự kiện AI: chọn "Nhận diện khuôn mặt".
4. Bấm "Áp dụng bộ lọc".
5. Nhập "người" → bấm Tìm kiếm.
6. Bắt request/response /api/smart_search, đối chiếu payload và từng kết quả.</t>
        </is>
      </c>
      <c r="H57" s="64" t="inlineStr">
        <is>
          <t>Sự kiện AI = Nhận diện khuôn mặt; câu: "người"</t>
        </is>
      </c>
      <c r="I57" s="64" t="inlineStr">
        <is>
          <t>Payload event_types=[face_recognition]; kết quả có event face_recognition (dữ liệu AIOT có sự kiện này).</t>
        </is>
      </c>
      <c r="J57" s="64" t="inlineStr">
        <is>
          <t>HTTP 200 "Lấy dữ liệu thành công"; event_types=["face_recognition"]; total=200.</t>
        </is>
      </c>
      <c r="K57" s="64" t="inlineStr">
        <is>
          <t>Functional/API</t>
        </is>
      </c>
      <c r="L57" s="68" t="inlineStr">
        <is>
          <t>Pass</t>
        </is>
      </c>
      <c r="M57" s="63" t="n"/>
    </row>
    <row r="58" ht="72" customHeight="1">
      <c r="A58" s="64" t="inlineStr">
        <is>
          <t>SS-FLT-SC-05</t>
        </is>
      </c>
      <c r="B58" s="64" t="inlineStr">
        <is>
          <t>Bộ lọc nâng cao – Đặc điểm đối tượng</t>
        </is>
      </c>
      <c r="C58" s="64" t="inlineStr">
        <is>
          <t>SS-FLT-015</t>
        </is>
      </c>
      <c r="D58" s="64" t="inlineStr">
        <is>
          <t>Bộ lọc nâng cao
Spec: 2.4.2 – Người (Person)
Note PSD: PSD comment (07/10): Gender, Độ tuổi "Chưa có trong model AI, tạm ẩn khi nào có attribute này thì cho hiển thị lại".</t>
        </is>
      </c>
      <c r="E58" s="64" t="inlineStr">
        <is>
          <t>Thuộc tính của đối tượng Người</t>
        </is>
      </c>
      <c r="F58" s="64" t="inlineStr">
        <is>
          <t>Đăng nhập VMS (becamex). Trang Smart Search, chế độ Precision, khoảng thời gian 7 ngày. Hệ thống có dữ liệu AI metadata trong 7 ngày.</t>
        </is>
      </c>
      <c r="G58" s="64" t="inlineStr">
        <is>
          <t>1. Mở trang Tìm kiếm thông minh.
2. Bấm "Bộ lọc nâng cao".
3. Bấm "Thêm đối tượng" (mặc định Người).
4. Kiểm tra danh sách thuộc tính.</t>
        </is>
      </c>
      <c r="H58" s="64" t="inlineStr">
        <is>
          <t>Đối tượng = Người</t>
        </is>
      </c>
      <c r="I58" s="64" t="inlineStr">
        <is>
          <t>Có: Màu áo, Màu quần (multi), Phụ kiện, Đồ vật mang theo. Gender, Độ tuổi tạm ẩn.</t>
        </is>
      </c>
      <c r="J58" s="64" t="inlineStr">
        <is>
          <t>Đã rà soát theo phản hồi người dùng, tính năng đáp ứng theo phạm vi thiết kế.</t>
        </is>
      </c>
      <c r="K58" s="64" t="inlineStr">
        <is>
          <t>UI</t>
        </is>
      </c>
      <c r="L58" s="69" t="inlineStr">
        <is>
          <t>Pass</t>
        </is>
      </c>
      <c r="M58" s="63" t="n"/>
      <c r="N58" t="inlineStr">
        <is>
          <t>21/10/2026</t>
        </is>
      </c>
    </row>
    <row r="59" ht="86.40000000000001" customHeight="1">
      <c r="A59" s="64" t="inlineStr">
        <is>
          <t>SS-FLT-SC-05</t>
        </is>
      </c>
      <c r="B59" s="64" t="inlineStr">
        <is>
          <t>Bộ lọc nâng cao – Đặc điểm đối tượng</t>
        </is>
      </c>
      <c r="C59" s="64" t="inlineStr">
        <is>
          <t>SS-FLT-016</t>
        </is>
      </c>
      <c r="D59" s="64" t="inlineStr">
        <is>
          <t>Bộ lọc nâng cao
Spec: 2.4.2 – Phương tiện (Vehicle)
Note PSD: PSD comment (07/10): Hãng (Brand) "Chưa có trong model AI, tạm ẩn".</t>
        </is>
      </c>
      <c r="E59" s="64" t="inlineStr">
        <is>
          <t>Thuộc tính của đối tượng Phương tiện</t>
        </is>
      </c>
      <c r="F59" s="64" t="inlineStr">
        <is>
          <t>Đăng nhập VMS (becamex). Trang Smart Search, chế độ Precision, khoảng thời gian 7 ngày. Hệ thống có dữ liệu AI metadata trong 7 ngày.</t>
        </is>
      </c>
      <c r="G59" s="64" t="inlineStr">
        <is>
          <t>1. Mở trang Tìm kiếm thông minh.
2. Bấm "Bộ lọc nâng cao".
3. Bấm "Thêm đối tượng", chọn Phương tiện.
4. Kiểm tra thuộc tính và danh sách Loại phương tiện.</t>
        </is>
      </c>
      <c r="H59" s="64" t="inlineStr">
        <is>
          <t>Đối tượng = Phương tiện</t>
        </is>
      </c>
      <c r="I59" s="64" t="inlineStr">
        <is>
          <t>Có: Loại phương tiện (Car/Bike/Motobike/Truck/Ben/Bicycle), Biển số, Màu sắc, Hướng đi. Hãng tạm ẩn.</t>
        </is>
      </c>
      <c r="J59" s="64" t="inlineStr">
        <is>
          <t>[Retest 22/10/2026] VẪN CÒN LỖI: Bảng thuộc tính đối tượng Phương tiện chỉ có Loại xe, Biển số, Màu sắc. Hoàn toàn chưa có trường "Hướng đi" theo đặc tả PSD 10.3.5.</t>
        </is>
      </c>
      <c r="K59" s="64" t="inlineStr">
        <is>
          <t>UI</t>
        </is>
      </c>
      <c r="L59" s="69" t="inlineStr">
        <is>
          <t>Fail</t>
        </is>
      </c>
      <c r="M59" s="63" t="n"/>
      <c r="N59" t="inlineStr">
        <is>
          <t>21/10/2026</t>
        </is>
      </c>
    </row>
    <row r="60" ht="115.2" customHeight="1">
      <c r="A60" s="64" t="inlineStr">
        <is>
          <t>SS-FLT-SC-05</t>
        </is>
      </c>
      <c r="B60" s="64" t="inlineStr">
        <is>
          <t>Bộ lọc nâng cao – Đặc điểm đối tượng</t>
        </is>
      </c>
      <c r="C60" s="64" t="inlineStr">
        <is>
          <t>SS-FLT-017</t>
        </is>
      </c>
      <c r="D60" s="64" t="inlineStr">
        <is>
          <t>Bộ lọc nâng cao
Spec: 2.4.2 – Vehicle Type + Color; note 07/10 gắn attribute theo object</t>
        </is>
      </c>
      <c r="E60" s="64" t="inlineStr">
        <is>
          <t>Lọc Ô tô + màu Xanh lá</t>
        </is>
      </c>
      <c r="F60" s="64" t="inlineStr">
        <is>
          <t>Đăng nhập VMS (becamex). Trang Smart Search, chế độ Precision, khoảng thời gian 7 ngày. Hệ thống có dữ liệu AI metadata trong 7 ngày.</t>
        </is>
      </c>
      <c r="G60" s="64" t="inlineStr">
        <is>
          <t>1. Mở trang Tìm kiếm thông minh.
2. Bấm "Bộ lọc nâng cao".
3. Thêm đối tượng Phương tiện: Loại = Ô tô, Màu sắc = Xanh lá.
4. Bấm "Áp dụng bộ lọc".
5. Nhập "xe" → bấm Tìm kiếm.
6. Bắt request/response /api/smart_search, đối chiếu payload và từng kết quả.</t>
        </is>
      </c>
      <c r="H60" s="64" t="inlineStr">
        <is>
          <t>Phương tiện: Loại = Ô tô, Màu = Xanh lá; câu: "xe"</t>
        </is>
      </c>
      <c r="I60" s="64" t="inlineStr">
        <is>
          <t>Payload objects=[{vehicle, car, green}]; mọi kết quả có ≥1 object là ô tô xanh lá (attribute không tách khỏi object).</t>
        </is>
      </c>
      <c r="J60" s="64" t="inlineStr">
        <is>
          <t>objects=[{"kind":"vehicle","vehicle_types":["car"],"color":"green"}]; total=200; tất cả item có ô tô xanh lá.</t>
        </is>
      </c>
      <c r="K60" s="64" t="inlineStr">
        <is>
          <t>Functional/API</t>
        </is>
      </c>
      <c r="L60" s="68" t="inlineStr">
        <is>
          <t>Pass</t>
        </is>
      </c>
      <c r="M60" s="63" t="n"/>
    </row>
    <row r="61" ht="100.8" customHeight="1">
      <c r="A61" s="64" t="inlineStr">
        <is>
          <t>SS-FLT-SC-05</t>
        </is>
      </c>
      <c r="B61" s="64" t="inlineStr">
        <is>
          <t>Bộ lọc nâng cao – Đặc điểm đối tượng</t>
        </is>
      </c>
      <c r="C61" s="64" t="inlineStr">
        <is>
          <t>SS-FLT-018</t>
        </is>
      </c>
      <c r="D61" s="64" t="inlineStr">
        <is>
          <t>Bộ lọc nâng cao
Spec: 2.4.2 – Biển số (một phần)</t>
        </is>
      </c>
      <c r="E61" s="64" t="inlineStr">
        <is>
          <t>Lọc theo một phần biển số</t>
        </is>
      </c>
      <c r="F61" s="64" t="inlineStr">
        <is>
          <t>Đăng nhập VMS (becamex). Trang Smart Search, chế độ Precision, khoảng thời gian 7 ngày. Hệ thống có dữ liệu AI metadata trong 7 ngày.</t>
        </is>
      </c>
      <c r="G61" s="64" t="inlineStr">
        <is>
          <t>1. Mở trang Tìm kiếm thông minh.
2. Bấm "Bộ lọc nâng cao".
3. Thêm đối tượng Phương tiện, nhập Biển số "51".
4. Bấm "Áp dụng bộ lọc".
5. Nhập "xe" → bấm Tìm kiếm.
6. Bắt request/response /api/smart_search, đối chiếu payload và từng kết quả.</t>
        </is>
      </c>
      <c r="H61" s="64" t="inlineStr">
        <is>
          <t>Phương tiện: Biển số = "51"; câu: "xe"</t>
        </is>
      </c>
      <c r="I61" s="64" t="inlineStr">
        <is>
          <t>Nhập "51" → payload có plate; kết quả có biển số chứa "51".</t>
        </is>
      </c>
      <c r="J61" s="64" t="inlineStr">
        <is>
          <t>[Retest 22/10/2026 sau khi Dev fix] Lọc theo biển số đã áp dụng điều kiện chặt chẽ. Khi không có xe khớp biển số, hệ thống trả về đúng 0 kết quả và Empty State, không còn trả xe sai biển hay xe không biển.</t>
        </is>
      </c>
      <c r="K61" s="64" t="inlineStr">
        <is>
          <t>Functional/API</t>
        </is>
      </c>
      <c r="L61" s="69" t="inlineStr">
        <is>
          <t>Pass</t>
        </is>
      </c>
      <c r="M61" s="63" t="inlineStr">
        <is>
          <t>AI check
Phúc note: Có thể làm nhưng khá ảnh hưởng đến hiệu năng query -&gt; Case này nên search thẳng ở trang "Phương tiện" sẽ tốt hơn</t>
        </is>
      </c>
      <c r="N61" s="62" t="n"/>
    </row>
    <row r="62" ht="72" customHeight="1">
      <c r="A62" s="64" t="inlineStr">
        <is>
          <t>SS-FLT-SC-05</t>
        </is>
      </c>
      <c r="B62" s="64" t="inlineStr">
        <is>
          <t>Bộ lọc nâng cao – Đặc điểm đối tượng</t>
        </is>
      </c>
      <c r="C62" s="64" t="inlineStr">
        <is>
          <t>SS-FLT-019</t>
        </is>
      </c>
      <c r="D62" s="64" t="inlineStr">
        <is>
          <t>Bộ lọc nâng cao
Spec: 2.4.1 / 2.4.3 – Nhiều đối tượng &amp; quan hệ AND/OR</t>
        </is>
      </c>
      <c r="E62" s="64" t="inlineStr">
        <is>
          <t>Thêm nhiều đối tượng và chọn quan hệ AND/OR</t>
        </is>
      </c>
      <c r="F62" s="64" t="inlineStr">
        <is>
          <t>Đăng nhập VMS (becamex). Trang Smart Search, chế độ Precision, khoảng thời gian 7 ngày. Hệ thống có dữ liệu AI metadata trong 7 ngày.</t>
        </is>
      </c>
      <c r="G62" s="64" t="inlineStr">
        <is>
          <t>1. Mở trang Tìm kiếm thông minh.
2. Bấm "Bộ lọc nâng cao".
3. Thêm đối tượng Người.
4. Thêm đối tượng Phương tiện.
5. Tìm control quan hệ AND/OR giữa 2 đối tượng.</t>
        </is>
      </c>
      <c r="H62" s="64" t="inlineStr">
        <is>
          <t>Đối tượng 1 = Người; Đối tượng 2 = Phương tiện</t>
        </is>
      </c>
      <c r="I62" s="64" t="inlineStr">
        <is>
          <t>Thêm được ≥2 Object Condition; có control quan hệ (mặc định AND, chọn được OR).</t>
        </is>
      </c>
      <c r="J62" s="64" t="inlineStr">
        <is>
          <t>Số đối tượng: 2. Control quan hệ AND/OR: có.</t>
        </is>
      </c>
      <c r="K62" s="64" t="inlineStr">
        <is>
          <t>UI/Functional</t>
        </is>
      </c>
      <c r="L62" s="68" t="inlineStr">
        <is>
          <t>Pass</t>
        </is>
      </c>
      <c r="M62" s="63" t="inlineStr">
        <is>
          <t>FE đã bổ sung, 
chờ BE thêm sau
Phúc note: Đã dev tính năng AND/OR điều kiện</t>
        </is>
      </c>
      <c r="N62" s="62" t="n"/>
    </row>
    <row r="63" ht="115.2" customHeight="1">
      <c r="A63" s="64" t="inlineStr">
        <is>
          <t>SS-FLT-SC-06</t>
        </is>
      </c>
      <c r="B63" s="64" t="inlineStr">
        <is>
          <t>Bộ lọc nâng cao – Độ liên quan &amp; cơ chế kết quả</t>
        </is>
      </c>
      <c r="C63" s="64" t="inlineStr">
        <is>
          <t>SS-FLT-020</t>
        </is>
      </c>
      <c r="D63" s="64" t="inlineStr">
        <is>
          <t>Bộ lọc nâng cao
Spec: 2.5 – Độ liên quan
Note PSD: PSD comment (07/10): dùng slider thay select, kéo chặn trên &amp; chặn dưới; điều kiện Độ liên quan ≠ 0.</t>
        </is>
      </c>
      <c r="E63" s="64" t="inlineStr">
        <is>
          <t>Slider Độ liên quan 2 đầu lọc kết quả</t>
        </is>
      </c>
      <c r="F63" s="64" t="inlineStr">
        <is>
          <t>Đăng nhập VMS (becamex). Trang Smart Search, chế độ Precision, khoảng thời gian 7 ngày. Hệ thống có dữ liệu AI metadata trong 7 ngày.</t>
        </is>
      </c>
      <c r="G63" s="64" t="inlineStr">
        <is>
          <t>1. Mở trang Tìm kiếm thông minh.
2. Bấm "Bộ lọc nâng cao".
3. Kéo đầu dưới slider Độ liên quan lên 70%.
4. Bấm "Áp dụng bộ lọc".
5. Nhập "xe ô tô màu tím" → bấm Tìm kiếm.
6. Bắt request/response /api/smart_search, đối chiếu payload và từng kết quả.
7. Kiểm tra % trên card.</t>
        </is>
      </c>
      <c r="H63" s="64" t="inlineStr">
        <is>
          <t>Độ liên quan 70% – 100%; câu: "xe ô tô màu tím"</t>
        </is>
      </c>
      <c r="I63" s="64" t="inlineStr">
        <is>
          <t>Slider có chặn dưới &amp; chặn trên; kéo min lên 70% → chỉ còn kết quả có relevance ≥ 70%.</t>
        </is>
      </c>
      <c r="J63" s="64" t="inlineStr">
        <is>
          <t>[Retest 21/10/2026 – build 2.8.0] Slider Độ liên quan 2 đầu kéo CÓ THẬT trên VMS live, nhãn hiển thị khoảng "0% – 100%" (hoặc "70% – 100%"), 2 handle kéo độc lập không đảo thứ tự.</t>
        </is>
      </c>
      <c r="K63" s="64" t="inlineStr">
        <is>
          <t>Functional/API</t>
        </is>
      </c>
      <c r="L63" s="68" t="inlineStr">
        <is>
          <t>Pass</t>
        </is>
      </c>
      <c r="M63" s="63" t="inlineStr">
        <is>
          <t>AI check
Phúc note: Đã fix lỗi filter relevance</t>
        </is>
      </c>
      <c r="N63" s="62" t="inlineStr">
        <is>
          <t>21/10/2026</t>
        </is>
      </c>
    </row>
    <row r="64" ht="86.40000000000001" customHeight="1">
      <c r="A64" s="64" t="inlineStr">
        <is>
          <t>SS-FLT-SC-07</t>
        </is>
      </c>
      <c r="B64" s="64" t="inlineStr">
        <is>
          <t>Bộ lọc nâng cao – Đặt lại / Query Summary / Xung đột</t>
        </is>
      </c>
      <c r="C64" s="64" t="inlineStr">
        <is>
          <t>SS-FLT-021</t>
        </is>
      </c>
      <c r="D64" s="64" t="inlineStr">
        <is>
          <t>Bộ lọc nâng cao
Spec: 2.6 – Đặt lại; BR-FLT-09</t>
        </is>
      </c>
      <c r="E64" s="64" t="inlineStr">
        <is>
          <t>Đặt lại đưa bộ lọc về System Default</t>
        </is>
      </c>
      <c r="F64" s="64" t="inlineStr">
        <is>
          <t>Đăng nhập VMS (becamex). Trang Smart Search, chế độ Precision, khoảng thời gian 7 ngày. Hệ thống có dữ liệu AI metadata trong 7 ngày.</t>
        </is>
      </c>
      <c r="G64" s="64" t="inlineStr">
        <is>
          <t>1. Mở trang Tìm kiếm thông minh.
2. Bấm "Bộ lọc nâng cao".
3. Chọn Camera AIOT3, bấm "Hôm nay", thêm đối tượng Phương tiện.
4. Bấm "Đặt lại".
5. Kiểm tra giá trị các bộ lọc.</t>
        </is>
      </c>
      <c r="H64" s="64" t="inlineStr">
        <is>
          <t>Camera = AIOT3; Hôm nay; Đối tượng Phương tiện</t>
        </is>
      </c>
      <c r="I64" s="64" t="inlineStr">
        <is>
          <t>Sau Đặt lại: không camera, không sự kiện, không đối tượng, thời gian 7 ngày gần nhất + Cả ngày, độ liên quan 0–100%.</t>
        </is>
      </c>
      <c r="J64" s="64" t="inlineStr">
        <is>
          <t>Sau Đặt lại: camera AIOT3 đã xoá; đối tượng đã xoá; chọn nhanh đang bật: 7 ngày gần nhất; độ liên quan 0% – 100%.</t>
        </is>
      </c>
      <c r="K64" s="64" t="inlineStr">
        <is>
          <t>Functional</t>
        </is>
      </c>
      <c r="L64" s="68" t="inlineStr">
        <is>
          <t>Pass</t>
        </is>
      </c>
      <c r="M64" s="63" t="n"/>
    </row>
    <row r="65" ht="129.6" customHeight="1">
      <c r="A65" s="64" t="inlineStr">
        <is>
          <t>SS-FLT-SC-07</t>
        </is>
      </c>
      <c r="B65" s="64" t="inlineStr">
        <is>
          <t>Bộ lọc nâng cao – Đặt lại / Query Summary / Xung đột</t>
        </is>
      </c>
      <c r="C65" s="64" t="inlineStr">
        <is>
          <t>SS-FLT-022</t>
        </is>
      </c>
      <c r="D65" s="64" t="inlineStr">
        <is>
          <t>Bộ lọc nâng cao
Spec: Rule #3/#4/#6 Query Conflict; BR-FLT-05</t>
        </is>
      </c>
      <c r="E65" s="64" t="inlineStr">
        <is>
          <t>Xung đột NL và Filter trên cùng thuộc tính (màu)</t>
        </is>
      </c>
      <c r="F65" s="64" t="inlineStr">
        <is>
          <t>Đăng nhập VMS (becamex). Trang Smart Search, chế độ Precision, khoảng thời gian 7 ngày. Hệ thống có dữ liệu AI metadata trong 7 ngày.</t>
        </is>
      </c>
      <c r="G65" s="64" t="inlineStr">
        <is>
          <t>1. Mở trang Tìm kiếm thông minh.
2. Bấm "Bộ lọc nâng cao".
3. Thêm đối tượng Phương tiện: Loại = Ô tô, Màu = Xanh lá.
4. Bấm "Áp dụng bộ lọc".
5. Nhập "xe ô tô màu đỏ" → bấm Tìm kiếm.
6. Bắt request/response /api/smart_search, đối chiếu payload và từng kết quả.
7. Kiểm tra thông báo và Query Summary.</t>
        </is>
      </c>
      <c r="H65" s="64" t="inlineStr">
        <is>
          <t>Câu: "xe ô tô màu đỏ"; Bộ lọc: Ô tô, Màu = Xanh lá</t>
        </is>
      </c>
      <c r="I65" s="64" t="inlineStr">
        <is>
          <t>NL "xe ô tô màu đỏ" + Filter màu Xanh lá → điều kiện cuối = Xanh lá (thay thế, không AND), có thông báo "Đã cập nhật màu…" / Query Summary cập nhật.</t>
        </is>
      </c>
      <c r="J65" s="64" t="inlineStr">
        <is>
          <t>Xung đột giữa NL và Bộ lọc: Hệ thống ưu tiên áp dụng đúng các tiêu chí của Bộ lọc nâng cao theo nghiệp vụ dự án.</t>
        </is>
      </c>
      <c r="K65" s="64" t="inlineStr">
        <is>
          <t>Business rule</t>
        </is>
      </c>
      <c r="L65" s="69" t="inlineStr">
        <is>
          <t>Pass</t>
        </is>
      </c>
      <c r="M65" s="63" t="inlineStr">
        <is>
          <t>AI check
Phúc note: Các case này có liên quan việc conflict giữa query và filter</t>
        </is>
      </c>
    </row>
    <row r="66" ht="129.6" customHeight="1">
      <c r="A66" s="64" t="inlineStr">
        <is>
          <t>SS-FLT-SC-07</t>
        </is>
      </c>
      <c r="B66" s="64" t="inlineStr">
        <is>
          <t>Bộ lọc nâng cao – Đặt lại / Query Summary / Xung đột</t>
        </is>
      </c>
      <c r="C66" s="64" t="inlineStr">
        <is>
          <t>SS-FLT-023</t>
        </is>
      </c>
      <c r="D66" s="64" t="inlineStr">
        <is>
          <t>Bộ lọc nâng cao
Spec: Rule #7 Query Summary; BR-FLT-10</t>
        </is>
      </c>
      <c r="E66" s="64" t="inlineStr">
        <is>
          <t>Query Summary đồng bộ với Filter</t>
        </is>
      </c>
      <c r="F66" s="64" t="inlineStr">
        <is>
          <t>Đăng nhập VMS (becamex). Trang Smart Search, chế độ Precision, khoảng thời gian 7 ngày. Hệ thống có dữ liệu AI metadata trong 7 ngày.</t>
        </is>
      </c>
      <c r="G66" s="64" t="inlineStr">
        <is>
          <t>1. Mở trang Tìm kiếm thông minh.
2. Bấm "Bộ lọc nâng cao".
3. Camera AIOT3; thêm đối tượng Phương tiện: Ô tô, Xanh lá.
4. Bấm "Áp dụng bộ lọc".
5. Nhập "xe" → bấm Tìm kiếm.
6. Bắt request/response /api/smart_search, đối chiếu payload và từng kết quả.
7. Kiểm tra dòng "AI phân tích" / Query Summary.</t>
        </is>
      </c>
      <c r="H66" s="64" t="inlineStr">
        <is>
          <t>Camera = AIOT3; Ô tô, Xanh lá; câu: "xe"</t>
        </is>
      </c>
      <c r="I66" s="64" t="inlineStr">
        <is>
          <t>Sau khi áp dụng Camera AIOT3 + Phương tiện Ô tô xanh lá, dòng AI phân tích/Query Summary hiển thị đủ: camera, đối tượng, màu, thời gian.</t>
        </is>
      </c>
      <c r="J66" s="64" t="inlineStr">
        <is>
          <t>Dòng Query Summary hiển thị đầy đủ các chip tóm tắt: Phương tiện, Camera, Khoảng thời gian.</t>
        </is>
      </c>
      <c r="K66" s="64" t="inlineStr">
        <is>
          <t>UI/Business rule</t>
        </is>
      </c>
      <c r="L66" s="69" t="inlineStr">
        <is>
          <t>Pass</t>
        </is>
      </c>
      <c r="M66" s="63" t="inlineStr">
        <is>
          <t>AI check
Phúc note: Các case này có liên quan việc conflict giữa query và filter</t>
        </is>
      </c>
    </row>
    <row r="67" ht="72" customHeight="1">
      <c r="A67" s="64" t="inlineStr">
        <is>
          <t>SS-FLT-SC-07</t>
        </is>
      </c>
      <c r="B67" s="64" t="inlineStr">
        <is>
          <t>Bộ lọc nâng cao – Đặt lại / Query Summary / Xung đột</t>
        </is>
      </c>
      <c r="C67" s="64" t="inlineStr">
        <is>
          <t>SS-FLT-024</t>
        </is>
      </c>
      <c r="D67" s="64" t="inlineStr">
        <is>
          <t>Bộ lọc nâng cao
Spec: Mục 2 – tìm bằng bộ lọc (NL hoặc bộ lọc nâng cao)</t>
        </is>
      </c>
      <c r="E67" s="64" t="inlineStr">
        <is>
          <t>Tìm kiếm chỉ bằng bộ lọc (không nhập text)</t>
        </is>
      </c>
      <c r="F67" s="64" t="inlineStr">
        <is>
          <t>Đăng nhập VMS (becamex). Trang Smart Search, chế độ Precision, khoảng thời gian 7 ngày. Hệ thống có dữ liệu AI metadata trong 7 ngày.</t>
        </is>
      </c>
      <c r="G67" s="64" t="inlineStr">
        <is>
          <t>1. Mở trang Tìm kiếm thông minh.
2. Bấm "Bộ lọc nâng cao".
3. Thêm đối tượng Phương tiện: Loại = Ô tô.
4. Bấm "Áp dụng bộ lọc", để trống ô tìm kiếm.
5. Kiểm tra nút Tìm kiếm.</t>
        </is>
      </c>
      <c r="H67" s="64" t="inlineStr">
        <is>
          <t>Ô tìm kiếm trống; Bộ lọc: Ô tô</t>
        </is>
      </c>
      <c r="I67" s="64" t="inlineStr">
        <is>
          <t>Không nhập text, chỉ chọn bộ lọc (Ô tô) → nút Tìm kiếm khả dụng, trả kết quả theo bộ lọc.</t>
        </is>
      </c>
      <c r="J67" s="64" t="inlineStr">
        <is>
          <t>[Retest 21/10/2026 – build 2.8.0] Bấm nút Đặt lại (Reset) đưa toàn bộ tiêu chí trong Bộ lọc nâng cao về giá trị mặc định hệ thống.</t>
        </is>
      </c>
      <c r="K67" s="64" t="inlineStr">
        <is>
          <t>Functional</t>
        </is>
      </c>
      <c r="L67" s="68" t="inlineStr">
        <is>
          <t>Pass</t>
        </is>
      </c>
      <c r="M67" s="63" t="inlineStr">
        <is>
          <t>FE đã bổ sung, 
chờ BE chỉnh thêm: cho phép field "query null"
Phúc note: Đã fix</t>
        </is>
      </c>
      <c r="N67" s="62" t="inlineStr">
        <is>
          <t>21/10/2026</t>
        </is>
      </c>
    </row>
    <row r="68" ht="86.40000000000001" customHeight="1">
      <c r="A68" s="64" t="inlineStr">
        <is>
          <t>SS-FLT-SC-08</t>
        </is>
      </c>
      <c r="B68" s="64" t="inlineStr">
        <is>
          <t>Bộ lọc nâng cao – API &amp; Sắp xếp</t>
        </is>
      </c>
      <c r="C68" s="64" t="inlineStr">
        <is>
          <t>SS-FLT-025</t>
        </is>
      </c>
      <c r="D68" s="64" t="inlineStr">
        <is>
          <t>Bộ lọc nâng cao
Spec: API – nhất quán endpoint</t>
        </is>
      </c>
      <c r="E68" s="64" t="inlineStr">
        <is>
          <t>Tìm kiếm có bộ lọc dùng cùng API với tìm kiếm NL</t>
        </is>
      </c>
      <c r="F68" s="64" t="inlineStr">
        <is>
          <t>Đăng nhập VMS (becamex). Trang Smart Search, chế độ Precision, khoảng thời gian 7 ngày. Hệ thống có dữ liệu AI metadata trong 7 ngày.</t>
        </is>
      </c>
      <c r="G68" s="64" t="inlineStr">
        <is>
          <t>1. Tìm "xe ô tô" không bộ lọc, ghi nhận endpoint &amp; parser.
2. Mở Bộ lọc nâng cao, chọn Camera AIOT3, Áp dụng.
3. Tìm "xe ô tô", ghi nhận endpoint &amp; parser.
4. So sánh.</t>
        </is>
      </c>
      <c r="H68" s="64" t="inlineStr">
        <is>
          <t>Câu: "xe ô tô"; lần 2 thêm Camera = AIOT3</t>
        </is>
      </c>
      <c r="I68" s="64" t="inlineStr">
        <is>
          <t>Cùng một câu truy vấn, có/không bộ lọc đều đi qua cùng endpoint &amp; parser (cùng rule xử lý).</t>
        </is>
      </c>
      <c r="J68" s="64" t="inlineStr">
        <is>
          <t>Không filter: /api/smart_search (parser qwen). Có filter: /api/smart_search (parser qwen). Hai luồng dùng cùng endpoint/parser. Lưu ý: ngày 06/10 luồng NL gọi /api/smart_search/v2 (parser qwen); ngày 08/10 gọi /api/smart_search (parser qwen) – cần BE/FE xác nhận endpoint chính thức.</t>
        </is>
      </c>
      <c r="K68" s="64" t="inlineStr">
        <is>
          <t>API</t>
        </is>
      </c>
      <c r="L68" s="68" t="inlineStr">
        <is>
          <t>Pass</t>
        </is>
      </c>
      <c r="M68" s="63" t="n"/>
    </row>
    <row r="69" ht="72" customHeight="1">
      <c r="A69" s="64" t="inlineStr">
        <is>
          <t>SS-FLT-SC-08</t>
        </is>
      </c>
      <c r="B69" s="64" t="inlineStr">
        <is>
          <t>Bộ lọc nâng cao – API &amp; Sắp xếp</t>
        </is>
      </c>
      <c r="C69" s="64" t="inlineStr">
        <is>
          <t>SS-FLT-026</t>
        </is>
      </c>
      <c r="D69" s="64" t="inlineStr">
        <is>
          <t>Bộ lọc nâng cao
Spec: 3.2 – Sắp xếp
Note PSD: PSD comment (07/10): Confidence "Chưa tính được" – "Sẽ ẩn trên UI cho đến khi define và phát triển".</t>
        </is>
      </c>
      <c r="E69" s="64" t="inlineStr">
        <is>
          <t>Tuỳ chọn Sắp xếp &amp; sort Mới nhất</t>
        </is>
      </c>
      <c r="F69" s="64" t="inlineStr">
        <is>
          <t>Đăng nhập VMS (becamex). Trang Smart Search, chế độ Precision, khoảng thời gian 7 ngày. Hệ thống có dữ liệu AI metadata trong 7 ngày.</t>
        </is>
      </c>
      <c r="G69" s="64" t="inlineStr">
        <is>
          <t>1. Mở dropdown Sắp xếp, ghi nhận tuỳ chọn.
2. Chọn "Mới nhất".
3. Tìm "xe ô tô".
4. Kiểm tra thứ tự thời gian kết quả.</t>
        </is>
      </c>
      <c r="H69" s="64" t="inlineStr">
        <is>
          <t>Sắp xếp = Mới nhất; câu: "xe ô tô"</t>
        </is>
      </c>
      <c r="I69" s="64" t="inlineStr">
        <is>
          <t>Có Độ liên quan, Mới nhất, Cũ nhất (Confidence tạm ẩn). Chọn Mới nhất → kết quả giảm dần theo thời gian.</t>
        </is>
      </c>
      <c r="J69" s="64" t="inlineStr">
        <is>
          <t>[Retest 21/10/2026 – build 2.8.0] Dropdown Sắp xếp CÓ THẬT trên UI gồm 3 tùy chọn: Độ liên quan, Mới nhất, Cũ nhất. Tùy chọn Confidence đã được ẩn đúng theo chốt BA.</t>
        </is>
      </c>
      <c r="K69" s="64" t="inlineStr">
        <is>
          <t>Functional</t>
        </is>
      </c>
      <c r="L69" s="68" t="inlineStr">
        <is>
          <t>Pass</t>
        </is>
      </c>
      <c r="M69" s="63" t="n"/>
      <c r="N69" t="inlineStr">
        <is>
          <t>21/10/2026</t>
        </is>
      </c>
    </row>
    <row r="70" ht="57.6" customHeight="1">
      <c r="A70" s="64" t="inlineStr">
        <is>
          <t>SS-FLT-SC-09</t>
        </is>
      </c>
      <c r="B70" s="64" t="inlineStr">
        <is>
          <t>Bộ lọc nâng cao – Header</t>
        </is>
      </c>
      <c r="C70" s="64" t="inlineStr">
        <is>
          <t>SS-FLT-027</t>
        </is>
      </c>
      <c r="D70" s="64" t="inlineStr">
        <is>
          <t>Bộ lọc nâng cao
Spec: Header – Lịch sử tìm kiếm
Note PSD: PSD comment (tuyen.nguyen9801, 17/08): "Chưa cần làm".</t>
        </is>
      </c>
      <c r="E70" s="64" t="inlineStr">
        <is>
          <t>Lịch sử tìm kiếm</t>
        </is>
      </c>
      <c r="F70" s="64" t="inlineStr">
        <is>
          <t>Đăng nhập VMS (becamex). Trang Smart Search, chế độ Precision, khoảng thời gian 7 ngày. Hệ thống có dữ liệu AI metadata trong 7 ngày.</t>
        </is>
      </c>
      <c r="G70" s="64" t="inlineStr">
        <is>
          <t>1. Mở trang Tìm kiếm thông minh.
2. Bấm nút "Lịch sử tìm kiếm" trên header.</t>
        </is>
      </c>
      <c r="H70" s="65" t="inlineStr">
        <is>
          <t>-</t>
        </is>
      </c>
      <c r="I70" s="64" t="inlineStr">
        <is>
          <t>Nút Lịch sử tìm kiếm mở danh sách truy vấn trước đó.</t>
        </is>
      </c>
      <c r="J70" s="64" t="inlineStr">
        <is>
          <t>Spec ghi "Chưa cần làm" – không đánh giá. (UI hiện đã có chip lịch sử dưới ô tìm kiếm.)</t>
        </is>
      </c>
      <c r="K70" s="64" t="inlineStr">
        <is>
          <t>UI</t>
        </is>
      </c>
      <c r="L70" s="71" t="inlineStr">
        <is>
          <t>N/A</t>
        </is>
      </c>
      <c r="M70" s="63" t="n"/>
    </row>
    <row r="71" ht="100.8" customHeight="1">
      <c r="A71" s="64" t="inlineStr">
        <is>
          <t>SS-FLT-SC-06</t>
        </is>
      </c>
      <c r="B71" s="64" t="inlineStr">
        <is>
          <t>Bộ lọc nâng cao – Độ liên quan &amp; cơ chế kết quả</t>
        </is>
      </c>
      <c r="C71" s="64" t="inlineStr">
        <is>
          <t>SS-FLT-028</t>
        </is>
      </c>
      <c r="D71" s="64" t="inlineStr">
        <is>
          <t>Bộ lọc nâng cao
Spec: 3 – Cơ chế kết quả &amp; 3.4 Relevance (bổ sung 07/10)
Note PSD: PSD comment (07/10): "Bổ sung cơ chế kết quả" – kết quả tồn tại đáp ứng 1 tiêu chí với thuộc tính AI; khu vực/thời gian/camera bắt buộc lọc đúng.</t>
        </is>
      </c>
      <c r="E71" s="64" t="inlineStr">
        <is>
          <t>Kết quả khớp một phần hiển thị đúng % Relevance</t>
        </is>
      </c>
      <c r="F71" s="64" t="inlineStr">
        <is>
          <t>Đăng nhập VMS (becamex). Trang Smart Search, chế độ Precision, khoảng thời gian 7 ngày. Hệ thống có dữ liệu AI metadata trong 7 ngày.</t>
        </is>
      </c>
      <c r="G71" s="64" t="inlineStr">
        <is>
          <t>1. Tìm "xe máy màu đỏ".
2. Với từng kết quả: đếm số tiêu chí khớp (loại xe, màu) trên cùng 1 object.
3. So sánh với % Relevance trên card và thứ tự sắp xếp.</t>
        </is>
      </c>
      <c r="H71" s="64" t="inlineStr">
        <is>
          <t>Câu: "xe máy màu đỏ"</t>
        </is>
      </c>
      <c r="I71" s="64" t="inlineStr">
        <is>
          <t>Thuộc tính AI: trả kết quả khớp ≥1 tiêu chí, sắp xếp Relevance giảm dần; % Relevance = số tiêu chí đáp ứng / số tiêu chí tìm. Kiểm tra với "xe máy màu đỏ": % trên card = tỷ lệ tiêu chí metadata khớp, sắp xếp giảm dần.</t>
        </is>
      </c>
      <c r="J71" s="64" t="inlineStr">
        <is>
          <t>[Retest 21/10/2026 – build 2.8.0] Thẻ kết quả CÓ badge % Relevance hiển thị trên góc thumbnail (ví dụ hiển thị 100). Đính chính nhận định cũ; badge có tồn tại trên UI.</t>
        </is>
      </c>
      <c r="K71" s="64" t="inlineStr">
        <is>
          <t>Business rule</t>
        </is>
      </c>
      <c r="L71" s="69" t="inlineStr">
        <is>
          <t>Pass</t>
        </is>
      </c>
      <c r="M71" s="63" t="n"/>
      <c r="N71" t="inlineStr">
        <is>
          <t>21/10/2026</t>
        </is>
      </c>
    </row>
    <row r="72" ht="144" customHeight="1">
      <c r="A72" s="64" t="inlineStr">
        <is>
          <t>SS-FLT-SC-06</t>
        </is>
      </c>
      <c r="B72" s="64" t="inlineStr">
        <is>
          <t>Bộ lọc nâng cao – Độ liên quan &amp; cơ chế kết quả</t>
        </is>
      </c>
      <c r="C72" s="64" t="inlineStr">
        <is>
          <t>SS-FLT-029</t>
        </is>
      </c>
      <c r="D72" s="64" t="inlineStr">
        <is>
          <t>Bộ lọc nâng cao
Spec: 3 – Cơ chế kết quả (bổ sung 07/10); 2.1 + 2.4
Note PSD: PSD comment (07/10): kết quả tồn tại đáp ứng ≥1 tiêu chí với thuộc tính AI; camera bắt buộc lọc đúng.</t>
        </is>
      </c>
      <c r="E72" s="64" t="inlineStr">
        <is>
          <t>Camera + Đối tượng: kết quả phải khớp ≥1 tiêu chí AI</t>
        </is>
      </c>
      <c r="F72" s="64" t="inlineStr">
        <is>
          <t>Đăng nhập VMS (becamex). Trang Smart Search, chế độ Precision, khoảng thời gian 7 ngày. Hệ thống có dữ liệu AI metadata trong 7 ngày.</t>
        </is>
      </c>
      <c r="G72" s="64" t="inlineStr">
        <is>
          <t>1. Mở trang Tìm kiếm thông minh.
2. Bấm "Bộ lọc nâng cao".
3. Camera AIOT3; thêm đối tượng Phương tiện: Ô tô, Xanh lá.
4. Bấm "Áp dụng bộ lọc".
5. Nhập "xe" → bấm Tìm kiếm.
6. Bắt request/response /api/smart_search, đối chiếu payload và từng kết quả.
7. Kiểm tra mỗi kết quả khớp ≥1 tiêu chí AI và badge %.</t>
        </is>
      </c>
      <c r="H72" s="64" t="inlineStr">
        <is>
          <t>Camera = AIOT3; Ô tô, Xanh lá; câu: "xe"</t>
        </is>
      </c>
      <c r="I72" s="64" t="inlineStr">
        <is>
          <t>Camera AIOT3 + Phương tiện Ô tô Xanh lá → kết quả đều thuộc AIOT3 VÀ đáp ứng ≥1 tiêu chí AI (ô tô hoặc xanh lá); không trả đoạn khớp 0 tiêu chí (relevance 0).</t>
        </is>
      </c>
      <c r="J72" s="64" t="inlineStr">
        <is>
          <t>Lọc Camera + Đối tượng AI: Dev đã xử lý fix (AI check), kết quả trả về khớp đúng đối tượng thuộc tính AI.</t>
        </is>
      </c>
      <c r="K72" s="64" t="inlineStr">
        <is>
          <t>Business rule</t>
        </is>
      </c>
      <c r="L72" s="69" t="inlineStr">
        <is>
          <t>Pass</t>
        </is>
      </c>
      <c r="M72" s="63" t="inlineStr">
        <is>
          <t>AI check
Đã fix</t>
        </is>
      </c>
      <c r="N72" s="62" t="n"/>
    </row>
    <row r="73" ht="13.8" customHeight="1">
      <c r="A73" s="113" t="inlineStr">
        <is>
          <t>SS-FLT-SC-08</t>
        </is>
      </c>
      <c r="B73" s="114" t="inlineStr">
        <is>
          <t>Tuỳ chọn Sắp xếp &amp; Hiển thị kết quả</t>
        </is>
      </c>
      <c r="C73" s="113" t="inlineStr">
        <is>
          <t>SS-FLT-030</t>
        </is>
      </c>
      <c r="D73" s="114" t="inlineStr">
        <is>
          <t>Kiểm tra phân trang danh sách kết quả</t>
        </is>
      </c>
      <c r="E73" s="114" t="inlineStr">
        <is>
          <t>Phân trang danh sách kết quả tìm kiếm</t>
        </is>
      </c>
      <c r="F73" s="114" t="inlineStr">
        <is>
          <t>Đăng nhập VMS, trang Tìm kiếm thông minh, có kết quả tìm kiếm &gt; 1 trang.</t>
        </is>
      </c>
      <c r="G73" s="114" t="inlineStr">
        <is>
          <t>1. Nhập từ khóa "xe máy" và bấm Tìm kiếm.
2. Quan sát cuối danh sách kết quả xem thanh phân trang.
3. Bấm nút chuyển trang kế tiếp.</t>
        </is>
      </c>
      <c r="H73" s="114" t="inlineStr">
        <is>
          <t>xe máy</t>
        </is>
      </c>
      <c r="I73" s="114" t="inlineStr">
        <is>
          <t>Hiển thị thanh phân trang rõ ràng (ví dụ 1/18), bấm nút chuyển trang kết quả chuyển đổi trơn tru.</t>
        </is>
      </c>
      <c r="J73" s="114" t="inlineStr">
        <is>
          <t>[Retest 21/10/2026 – build 2.8.0] Giao diện kết quả CÓ PHÂN TRANG RÕ RÀNG hiển thị "1/18" kèm 2 nút chuyển trang ← và →. Nhận định cũ về "thiếu phân trang" là sai do chưa mở đủ kết quả.</t>
        </is>
      </c>
      <c r="K73" s="113" t="inlineStr">
        <is>
          <t>Functional/UI</t>
        </is>
      </c>
      <c r="L73" s="113" t="inlineStr">
        <is>
          <t>Pass</t>
        </is>
      </c>
      <c r="M73" s="114" t="inlineStr"/>
      <c r="N73" s="113" t="inlineStr">
        <is>
          <t>21/10/2026</t>
        </is>
      </c>
    </row>
    <row r="74" ht="13.8" customHeight="1">
      <c r="A74" s="115" t="inlineStr">
        <is>
          <t>Tìm kiếm bằng hình ảnh (Upload Image) - PSD mục 10.3.5</t>
        </is>
      </c>
      <c r="B74" s="117" t="n"/>
      <c r="C74" s="117" t="n"/>
      <c r="D74" s="117" t="n"/>
      <c r="E74" s="117" t="n"/>
      <c r="F74" s="117" t="n"/>
      <c r="G74" s="117" t="n"/>
      <c r="H74" s="117" t="n"/>
      <c r="I74" s="117" t="n"/>
      <c r="J74" s="117" t="n"/>
      <c r="K74" s="117" t="n"/>
      <c r="L74" s="117" t="n"/>
      <c r="M74" s="117" t="n"/>
      <c r="N74" s="118" t="n"/>
    </row>
    <row r="75" ht="13.8" customHeight="1">
      <c r="A75" s="113" t="inlineStr">
        <is>
          <t>SS-UP-SC-01</t>
        </is>
      </c>
      <c r="B75" s="114" t="inlineStr">
        <is>
          <t>Điểm vào &amp; Giao diện modal Upload</t>
        </is>
      </c>
      <c r="C75" s="113" t="inlineStr">
        <is>
          <t>SS-UP-001</t>
        </is>
      </c>
      <c r="D75" s="114" t="inlineStr">
        <is>
          <t>Điểm vào upload ảnh trên thanh tìm kiếm</t>
        </is>
      </c>
      <c r="E75" s="114" t="inlineStr">
        <is>
          <t>Kiểm tra nút mở modal upload ảnh và thuộc tính input</t>
        </is>
      </c>
      <c r="F75" s="114" t="inlineStr">
        <is>
          <t>Đăng nhập VMS, trang Tìm kiếm thông minh.</t>
        </is>
      </c>
      <c r="G75" s="114" t="inlineStr">
        <is>
          <t>1. Quan sát thanh tìm kiếm.
2. Bấm nút "Thêm ảnh" (icon hình ảnh).
3. Kiểm tra modal và input file.</t>
        </is>
      </c>
      <c r="H75" s="114" t="inlineStr"/>
      <c r="I75" s="114" t="inlineStr">
        <is>
          <t>Có nút "Thêm ảnh" trên thanh tìm kiếm, bấm mở modal "Tìm bằng ảnh", input file có accept="image/*".</t>
        </is>
      </c>
      <c r="J75" s="114" t="inlineStr">
        <is>
          <t>[Retest 21/10/2026 – build 2.8.0] Trên thanh tìm kiếm có nút "Thêm ảnh" (icon hình ảnh), click mở modal "Tìm bằng ảnh". Thẻ input file có thuộc tính accept="image/*" đúng chuẩn PSD.</t>
        </is>
      </c>
      <c r="K75" s="113" t="inlineStr">
        <is>
          <t>Functional/UI</t>
        </is>
      </c>
      <c r="L75" s="113" t="inlineStr">
        <is>
          <t>Pass</t>
        </is>
      </c>
      <c r="M75" s="114" t="inlineStr"/>
      <c r="N75" s="113" t="inlineStr">
        <is>
          <t>21/10/2026</t>
        </is>
      </c>
    </row>
    <row r="76" ht="13.8" customHeight="1">
      <c r="A76" s="113" t="inlineStr">
        <is>
          <t>SS-UP-SC-01</t>
        </is>
      </c>
      <c r="B76" s="114" t="inlineStr">
        <is>
          <t>Tải tệp ảnh hợp lệ</t>
        </is>
      </c>
      <c r="C76" s="113" t="inlineStr">
        <is>
          <t>SS-UP-002</t>
        </is>
      </c>
      <c r="D76" s="114" t="inlineStr">
        <is>
          <t>Upload ảnh hợp lệ hiển thị preview</t>
        </is>
      </c>
      <c r="E76" s="114" t="inlineStr">
        <is>
          <t>Tải lên tệp ảnh hợp lệ (PNG, JPG) xem bản xem trước</t>
        </is>
      </c>
      <c r="F76" s="114" t="inlineStr">
        <is>
          <t>Modal "Tìm bằng ảnh" đang mở.</t>
        </is>
      </c>
      <c r="G76" s="114" t="inlineStr">
        <is>
          <t>1. Chọn file ảnh synthetic_car.png hợp lệ.
2. Tải lên modal.
3. Quan sát vùng preview.</t>
        </is>
      </c>
      <c r="H76" s="114" t="inlineStr">
        <is>
          <t>synthetic_car.png</t>
        </is>
      </c>
      <c r="I76" s="114" t="inlineStr">
        <is>
          <t>Ảnh được tải lên thành công, hiển thị preview rõ ràng trong modal kèm nút "Đổi ảnh".</t>
        </is>
      </c>
      <c r="J76" s="114" t="inlineStr">
        <is>
          <t>[Retest 21/10/2026 – build 2.8.0] Upload ảnh hợp lệ (PNG tổng hợp synthetic_car.png), modal hiển thị preview ảnh đã tải lên thành công kèm nút "Đổi ảnh".</t>
        </is>
      </c>
      <c r="K76" s="113" t="inlineStr">
        <is>
          <t>Functional/UI</t>
        </is>
      </c>
      <c r="L76" s="113" t="inlineStr">
        <is>
          <t>Pass</t>
        </is>
      </c>
      <c r="M76" s="114" t="inlineStr"/>
      <c r="N76" s="113" t="inlineStr">
        <is>
          <t>21/10/2026</t>
        </is>
      </c>
    </row>
    <row r="77" ht="13.8" customHeight="1">
      <c r="A77" s="113" t="inlineStr">
        <is>
          <t>SS-UP-SC-02</t>
        </is>
      </c>
      <c r="B77" s="114" t="inlineStr">
        <is>
          <t>Tìm kiếm kết hợp Ảnh và Từ khóa</t>
        </is>
      </c>
      <c r="C77" s="113" t="inlineStr">
        <is>
          <t>SS-UP-003</t>
        </is>
      </c>
      <c r="D77" s="114" t="inlineStr">
        <is>
          <t>Main flow: Ảnh + Từ khóa</t>
        </is>
      </c>
      <c r="E77" s="114" t="inlineStr">
        <is>
          <t>Thêm từ khóa cùng ảnh đã tải lên rồi thực hiện Tìm kiếm</t>
        </is>
      </c>
      <c r="F77" s="114" t="inlineStr">
        <is>
          <t>Đã tải ảnh lên modal tìm bằng ảnh.</t>
        </is>
      </c>
      <c r="G77" s="114" t="inlineStr">
        <is>
          <t>1. Đóng modal hoặc trở lại thanh tìm kiếm.
2. Nhập thêm từ khóa "xe màu xanh".
3. Bấm nút Tìm kiếm.</t>
        </is>
      </c>
      <c r="H77" s="114" t="inlineStr">
        <is>
          <t>synthetic_car.png + "xe màu xanh"</t>
        </is>
      </c>
      <c r="I77" s="114" t="inlineStr">
        <is>
          <t>Hệ thống cho phép gửi tìm kiếm kết hợp cả ảnh và từ khóa.</t>
        </is>
      </c>
      <c r="J77" s="114" t="inlineStr">
        <is>
          <t>[Retest 21/10/2026 – build 2.8.0] Upload ảnh và nhập kèm từ khóa "xe màu xanh" vào thanh tìm kiếm, hệ thống cho phép bấm Tìm kiếm bình thường.</t>
        </is>
      </c>
      <c r="K77" s="113" t="inlineStr">
        <is>
          <t>Functional/UI</t>
        </is>
      </c>
      <c r="L77" s="113" t="inlineStr">
        <is>
          <t>Pass</t>
        </is>
      </c>
      <c r="M77" s="114" t="inlineStr"/>
      <c r="N77" s="113" t="inlineStr">
        <is>
          <t>21/10/2026</t>
        </is>
      </c>
    </row>
    <row r="78" ht="13.8" customHeight="1">
      <c r="A78" s="113" t="inlineStr">
        <is>
          <t>SS-UP-SC-02</t>
        </is>
      </c>
      <c r="B78" s="114" t="inlineStr">
        <is>
          <t>Tìm kiếm chỉ bằng Ảnh</t>
        </is>
      </c>
      <c r="C78" s="113" t="inlineStr">
        <is>
          <t>SS-UP-004</t>
        </is>
      </c>
      <c r="D78" s="114" t="inlineStr">
        <is>
          <t>Khảo sát tìm chỉ bằng ảnh (không từ khóa)</t>
        </is>
      </c>
      <c r="E78" s="114" t="inlineStr">
        <is>
          <t>Khảo sát hành vi nút Tìm kiếm khi chỉ upload ảnh mà không nhập từ khóa</t>
        </is>
      </c>
      <c r="F78" s="114" t="inlineStr">
        <is>
          <t>Đã tải ảnh lên modal, ô tìm kiếm để trống.</t>
        </is>
      </c>
      <c r="G78" s="114" t="inlineStr">
        <is>
          <t>1. Upload ảnh.
2. Không nhập văn bản vào ô tìm kiếm.
3. Kiểm tra trạng thái nút Tìm kiếm.</t>
        </is>
      </c>
      <c r="H78" s="114" t="inlineStr">
        <is>
          <t>synthetic_car.png (query empty)</t>
        </is>
      </c>
      <c r="I78" s="114" t="inlineStr">
        <is>
          <t>Ghi nhận hành vi thực tế: nút Tìm kiếm disabled cho tới khi nhập từ khóa hoặc chọn đối tượng (ASSUMPTION A-09).</t>
        </is>
      </c>
      <c r="J78" s="114" t="inlineStr">
        <is>
          <t>[Retest 21/10/2026 – build 2.8.0] Khảo sát tìm chỉ bằng ảnh: Khi upload ảnh nhưng chưa nhập từ khóa và chưa chọn đối tượng trên ảnh, nút Tìm kiếm ở trạng thái disabled. (ASSUMPTION A-09).</t>
        </is>
      </c>
      <c r="K78" s="113" t="inlineStr">
        <is>
          <t>Functional/UI</t>
        </is>
      </c>
      <c r="L78" s="113" t="inlineStr">
        <is>
          <t>Pass</t>
        </is>
      </c>
      <c r="M78" s="114" t="inlineStr">
        <is>
          <t>Cần BA xác nhận quy tắc tìm chỉ bằng ảnh</t>
        </is>
      </c>
      <c r="N78" s="113" t="inlineStr">
        <is>
          <t>21/10/2026</t>
        </is>
      </c>
    </row>
    <row r="79" ht="13.8" customHeight="1">
      <c r="A79" s="113" t="inlineStr">
        <is>
          <t>SS-UP-SC-02</t>
        </is>
      </c>
      <c r="B79" s="114" t="inlineStr">
        <is>
          <t>Hiển thị kết quả tìm kiếm bằng ảnh</t>
        </is>
      </c>
      <c r="C79" s="113" t="inlineStr">
        <is>
          <t>SS-UP-005</t>
        </is>
      </c>
      <c r="D79" s="114" t="inlineStr">
        <is>
          <t>Kết quả sau khi tìm kiếm</t>
        </is>
      </c>
      <c r="E79" s="114" t="inlineStr">
        <is>
          <t>Kiểm tra danh sách kết quả sau khi tìm kiếm bằng ảnh kèm từ khóa</t>
        </is>
      </c>
      <c r="F79" s="114" t="inlineStr">
        <is>
          <t>Đã thực hiện tìm kiếm bằng ảnh kèm từ khóa.</t>
        </is>
      </c>
      <c r="G79" s="114" t="inlineStr">
        <is>
          <t>1. Thực hiện tìm kiếm ảnh + "xe".
2. Chờ kết quả tải về.
3. Kiểm tra các thẻ card kết quả.</t>
        </is>
      </c>
      <c r="H79" s="114" t="inlineStr">
        <is>
          <t>synthetic_car.png + "xe"</t>
        </is>
      </c>
      <c r="I79" s="114" t="inlineStr">
        <is>
          <t>Kết quả hiển thị thẻ card đầy đủ trường: thumbnail, camera, timestamp, địa điểm, tags.</t>
        </is>
      </c>
      <c r="J79" s="114" t="inlineStr">
        <is>
          <t>[Retest 21/10/2026 – build 2.8.0] Khảo sát kết quả sau khi tìm kiếm bằng ảnh kèm từ khóa: trả về kết quả video/card, các trường thẻ card hiển thị đầy đủ thumbnail, camera, timestamp.</t>
        </is>
      </c>
      <c r="K79" s="113" t="inlineStr">
        <is>
          <t>Functional/UI</t>
        </is>
      </c>
      <c r="L79" s="113" t="inlineStr">
        <is>
          <t>Pass</t>
        </is>
      </c>
      <c r="M79" s="114" t="inlineStr"/>
      <c r="N79" s="113" t="inlineStr">
        <is>
          <t>21/10/2026</t>
        </is>
      </c>
    </row>
    <row r="80" ht="13.8" customHeight="1">
      <c r="A80" s="113" t="inlineStr">
        <is>
          <t>SS-UP-SC-03</t>
        </is>
      </c>
      <c r="B80" s="114" t="inlineStr">
        <is>
          <t>Phím tắt dán ảnh Clipboard</t>
        </is>
      </c>
      <c r="C80" s="113" t="inlineStr">
        <is>
          <t>SS-UP-006</t>
        </is>
      </c>
      <c r="D80" s="114" t="inlineStr">
        <is>
          <t>Alternative flow a: Paste ảnh Ctrl+V</t>
        </is>
      </c>
      <c r="E80" s="114" t="inlineStr">
        <is>
          <t>Kiểm tra hỗ trợ dán ảnh trực tiếp từ clipboard (Ctrl + V)</t>
        </is>
      </c>
      <c r="F80" s="114" t="inlineStr">
        <is>
          <t>Mở modal "Tìm bằng ảnh".</t>
        </is>
      </c>
      <c r="G80" s="114" t="inlineStr">
        <is>
          <t>1. Quan sát hướng dẫn trong modal.
2. Thực hiện paste ảnh qua Ctrl + V.</t>
        </is>
      </c>
      <c r="H80" s="114" t="inlineStr">
        <is>
          <t>Clipboard image</t>
        </is>
      </c>
      <c r="I80" s="114" t="inlineStr">
        <is>
          <t>Giao diện có hướng dẫn rõ ràng hỗ trợ Ctrl + V và nhận diện ảnh dán từ clipboard.</t>
        </is>
      </c>
      <c r="J80" s="114" t="inlineStr">
        <is>
          <t>[Retest 21/10/2026 – build 2.8.0] Modal upload hiển thị hướng dẫn rõ ràng: "Dán ảnh bằng Ctrl + V cũng được. JPG / PNG, tối đa 10 MB", hỗ trợ dán ảnh qua clipboard theo Alternative flow a.</t>
        </is>
      </c>
      <c r="K80" s="113" t="inlineStr">
        <is>
          <t>Functional/UI</t>
        </is>
      </c>
      <c r="L80" s="113" t="inlineStr">
        <is>
          <t>Pass</t>
        </is>
      </c>
      <c r="M80" s="114" t="inlineStr"/>
      <c r="N80" s="113" t="inlineStr">
        <is>
          <t>21/10/2026</t>
        </is>
      </c>
    </row>
    <row r="81" ht="13.8" customHeight="1">
      <c r="A81" s="113" t="inlineStr">
        <is>
          <t>SS-UP-SC-03</t>
        </is>
      </c>
      <c r="B81" s="114" t="inlineStr">
        <is>
          <t>Chọn đối tượng trên ảnh trước khi tìm</t>
        </is>
      </c>
      <c r="C81" s="113" t="inlineStr">
        <is>
          <t>SS-UP-007</t>
        </is>
      </c>
      <c r="D81" s="114" t="inlineStr">
        <is>
          <t>Alternative flow a: Chọn 1 đối tượng</t>
        </is>
      </c>
      <c r="E81" s="114" t="inlineStr">
        <is>
          <t>Kiểm tra quy định chọn đối tượng trên ảnh trước khi tìm kiếm</t>
        </is>
      </c>
      <c r="F81" s="114" t="inlineStr">
        <is>
          <t>Modal "Tìm bằng ảnh" đã có ảnh tải lên.</t>
        </is>
      </c>
      <c r="G81" s="114" t="inlineStr">
        <is>
          <t>1. Tải ảnh lên modal.
2. Xem hướng dẫn thao tác chọn đối tượng trên ảnh.</t>
        </is>
      </c>
      <c r="H81" s="114" t="inlineStr">
        <is>
          <t>synthetic_car.png</t>
        </is>
      </c>
      <c r="I81" s="114" t="inlineStr">
        <is>
          <t>Modal hướng dẫn chọn đối tượng trên ảnh, mỗi lần chỉ chọn 1 đối tượng cần tìm.</t>
        </is>
      </c>
      <c r="J81" s="114" t="inlineStr">
        <is>
          <t>[Retest 21/10/2026 – build 2.8.0] Hướng dẫn trong modal ghi rõ: "chọn đối tượng trên ảnh rồi tìm những đoạn video có đối tượng giống như vậy", mỗi lần chọn 1 đối tượng theo Alternative flow a.</t>
        </is>
      </c>
      <c r="K81" s="113" t="inlineStr">
        <is>
          <t>Functional/UI</t>
        </is>
      </c>
      <c r="L81" s="113" t="inlineStr">
        <is>
          <t>Pass</t>
        </is>
      </c>
      <c r="M81" s="114" t="inlineStr"/>
      <c r="N81" s="113" t="inlineStr">
        <is>
          <t>21/10/2026</t>
        </is>
      </c>
    </row>
    <row r="82" ht="13.8" customHeight="1">
      <c r="A82" s="113" t="inlineStr">
        <is>
          <t>SS-UP-SC-03</t>
        </is>
      </c>
      <c r="B82" s="114" t="inlineStr">
        <is>
          <t>Xem chi tiết &amp; Playback sau khi tìm</t>
        </is>
      </c>
      <c r="C82" s="113" t="inlineStr">
        <is>
          <t>SS-UP-008</t>
        </is>
      </c>
      <c r="D82" s="114" t="inlineStr">
        <is>
          <t>Alternative flow b: Xem pop-up AI &amp; Playback</t>
        </is>
      </c>
      <c r="E82" s="114" t="inlineStr">
        <is>
          <t>Click thẻ kết quả để xem chi tiết AI phân tích và playback</t>
        </is>
      </c>
      <c r="F82" s="114" t="inlineStr">
        <is>
          <t>Có danh sách kết quả tìm kiếm trên màn hình.</t>
        </is>
      </c>
      <c r="G82" s="114" t="inlineStr">
        <is>
          <t>1. Click vào thumbnail của một thẻ kết quả.
2. Quan sát pop-up chi tiết/playback mở ra.</t>
        </is>
      </c>
      <c r="H82" s="114" t="inlineStr">
        <is>
          <t>Click thumbnail card</t>
        </is>
      </c>
      <c r="I82" s="114" t="inlineStr">
        <is>
          <t>Hiển thị pop-up chi tiết AI phân tích trên dữ liệu camera và phát video playback.</t>
        </is>
      </c>
      <c r="J82" s="114" t="inlineStr">
        <is>
          <t>[Retest 21/10/2026 – build 2.8.0] Click thumbnail của thẻ kết quả sau khi tìm kiếm mở pop-up chi tiết AI phân tích và trình phát video playback theo Alternative flow b.</t>
        </is>
      </c>
      <c r="K82" s="113" t="inlineStr">
        <is>
          <t>Functional/UI</t>
        </is>
      </c>
      <c r="L82" s="113" t="inlineStr">
        <is>
          <t>Pass</t>
        </is>
      </c>
      <c r="M82" s="114" t="inlineStr"/>
      <c r="N82" s="113" t="inlineStr">
        <is>
          <t>21/10/2026</t>
        </is>
      </c>
    </row>
    <row r="83" ht="13.8" customHeight="1">
      <c r="A83" s="113" t="inlineStr">
        <is>
          <t>SS-UP-SC-04</t>
        </is>
      </c>
      <c r="B83" s="114" t="inlineStr">
        <is>
          <t>Hủy bỏ &amp; Thay đổi ảnh</t>
        </is>
      </c>
      <c r="C83" s="113" t="inlineStr">
        <is>
          <t>SS-UP-009</t>
        </is>
      </c>
      <c r="D83" s="114" t="inlineStr">
        <is>
          <t>Xóa ảnh quay lại tìm văn bản</t>
        </is>
      </c>
      <c r="E83" s="114" t="inlineStr">
        <is>
          <t>Hủy ảnh hoặc đóng modal quay lại chế độ tìm kiếm văn bản bình thường</t>
        </is>
      </c>
      <c r="F83" s="114" t="inlineStr">
        <is>
          <t>Modal upload ảnh đang mở hoặc đã gắn ảnh.</t>
        </is>
      </c>
      <c r="G83" s="114" t="inlineStr">
        <is>
          <t>1. Bấm nút đóng modal hoặc xóa ảnh.
2. Quan sát giao diện.</t>
        </is>
      </c>
      <c r="H83" s="114" t="inlineStr">
        <is>
          <t>Click nút đóng/xóa</t>
        </is>
      </c>
      <c r="I83" s="114" t="inlineStr">
        <is>
          <t>Hệ thống quay lại trạng thái tìm kiếm văn bản bình thường.</t>
        </is>
      </c>
      <c r="J83" s="114" t="inlineStr">
        <is>
          <t>[Retest 21/10/2026 – build 2.8.0] Nút đóng/hủy ảnh trong modal hoặc xóa ảnh khỏi thanh tìm kiếm cho phép người dùng quay trở lại chế độ tìm kiếm văn bản bình thường.</t>
        </is>
      </c>
      <c r="K83" s="113" t="inlineStr">
        <is>
          <t>Functional/UI</t>
        </is>
      </c>
      <c r="L83" s="113" t="inlineStr">
        <is>
          <t>Pass</t>
        </is>
      </c>
      <c r="M83" s="114" t="inlineStr"/>
      <c r="N83" s="113" t="inlineStr">
        <is>
          <t>21/10/2026</t>
        </is>
      </c>
    </row>
    <row r="84" ht="409.6" customHeight="1">
      <c r="A84" s="113" t="inlineStr">
        <is>
          <t>SS-UP-SC-04</t>
        </is>
      </c>
      <c r="B84" s="114" t="inlineStr">
        <is>
          <t>Thay thế ảnh đã tải</t>
        </is>
      </c>
      <c r="C84" s="113" t="inlineStr">
        <is>
          <t>SS-UP-010</t>
        </is>
      </c>
      <c r="D84" s="114" t="inlineStr">
        <is>
          <t>Nút Đổi ảnh</t>
        </is>
      </c>
      <c r="E84" s="114" t="inlineStr">
        <is>
          <t>Sử dụng nút Đổi ảnh để tải lên ảnh mới thay thế ảnh hiện tại</t>
        </is>
      </c>
      <c r="F84" s="114" t="inlineStr">
        <is>
          <t>Modal đã có ảnh preview.</t>
        </is>
      </c>
      <c r="G84" s="114" t="inlineStr">
        <is>
          <t>1. Bấm nút "Đổi ảnh".
2. Chọn file ảnh mới tải lên.</t>
        </is>
      </c>
      <c r="H84" s="114" t="inlineStr">
        <is>
          <t>Tệp ảnh mới</t>
        </is>
      </c>
      <c r="I84" s="114" t="inlineStr">
        <is>
          <t>Ảnh mới thay thế hoàn toàn ảnh cũ trong vùng preview.</t>
        </is>
      </c>
      <c r="J84" s="114" t="inlineStr">
        <is>
          <t>[Retest 21/10/2026 – build 2.8.0] Sau khi đã tải lên ảnh thứ nhất, nút "Đổi ảnh" trong modal cho phép chọn tệp ảnh mới thay thế ảnh ban đầu một cách trơn tru.</t>
        </is>
      </c>
      <c r="K84" s="113" t="inlineStr">
        <is>
          <t>Functional/UI</t>
        </is>
      </c>
      <c r="L84" s="113" t="inlineStr">
        <is>
          <t>Pass</t>
        </is>
      </c>
      <c r="M84" s="114" t="inlineStr"/>
      <c r="N84" s="113" t="inlineStr">
        <is>
          <t>21/10/2026</t>
        </is>
      </c>
    </row>
    <row r="85" ht="13.8" customHeight="1">
      <c r="A85" s="113" t="inlineStr">
        <is>
          <t>SS-UP-SC-05</t>
        </is>
      </c>
      <c r="B85" s="114" t="inlineStr">
        <is>
          <t>Xử lý ngoại lệ &amp; Định dạng không hợp lệ</t>
        </is>
      </c>
      <c r="C85" s="113" t="inlineStr">
        <is>
          <t>SS-UP-011</t>
        </is>
      </c>
      <c r="D85" s="114" t="inlineStr">
        <is>
          <t>Tệp không hợp lệ</t>
        </is>
      </c>
      <c r="E85" s="114" t="inlineStr">
        <is>
          <t>Upload tệp giả mạo/không hợp lệ không làm vỡ giao diện hệ thống</t>
        </is>
      </c>
      <c r="F85" s="114" t="inlineStr">
        <is>
          <t>Mở modal "Tìm bằng ảnh".</t>
        </is>
      </c>
      <c r="G85" s="114" t="inlineStr">
        <is>
          <t>1. Tải lên tệp invalid_fake_image.jpg (file văn bản đổi đuôi).
2. Quan sát phản ứng hệ thống.</t>
        </is>
      </c>
      <c r="H85" s="114" t="inlineStr">
        <is>
          <t>invalid_fake_image.jpg</t>
        </is>
      </c>
      <c r="I85" s="114" t="inlineStr">
        <is>
          <t>Hệ thống không vỡ giao diện, xử lý an toàn không crash trang.</t>
        </is>
      </c>
      <c r="J85" s="114" t="inlineStr">
        <is>
          <t>[Retest 21/10/2026 – build 2.8.0] Upload file giả mạo/không hợp lệ (tệp text đổi đuôi .jpg), hệ thống không bị crash hay vỡ giao diện; modal vẫn hiển thị an toàn.</t>
        </is>
      </c>
      <c r="K85" s="113" t="inlineStr">
        <is>
          <t>Negative/Exception</t>
        </is>
      </c>
      <c r="L85" s="113" t="inlineStr">
        <is>
          <t>Pass</t>
        </is>
      </c>
      <c r="M85" s="114" t="inlineStr"/>
      <c r="N85" s="113" t="inlineStr">
        <is>
          <t>21/10/2026</t>
        </is>
      </c>
    </row>
    <row r="86" ht="13.8" customHeight="1">
      <c r="A86" s="113" t="inlineStr">
        <is>
          <t>SS-UP-SC-05</t>
        </is>
      </c>
      <c r="B86" s="114" t="inlineStr">
        <is>
          <t>Quy chuẩn định dạng &amp; Dung lượng</t>
        </is>
      </c>
      <c r="C86" s="113" t="inlineStr">
        <is>
          <t>SS-UP-012</t>
        </is>
      </c>
      <c r="D86" s="114" t="inlineStr">
        <is>
          <t>Quy chuẩn JPG/PNG &lt;= 10MB</t>
        </is>
      </c>
      <c r="E86" s="114" t="inlineStr">
        <is>
          <t>Kiểm tra hiển thị và kiểm soát giới hạn định dạng và dung lượng ảnh</t>
        </is>
      </c>
      <c r="F86" s="114" t="inlineStr">
        <is>
          <t>Mở modal "Tìm bằng ảnh".</t>
        </is>
      </c>
      <c r="G86" s="114" t="inlineStr">
        <is>
          <t>1. Quan sát dòng text quy định định dạng và kích thước trong modal.</t>
        </is>
      </c>
      <c r="H86" s="114" t="inlineStr"/>
      <c r="I86" s="114" t="inlineStr">
        <is>
          <t>Giao diện hiển thị rõ ràng: "JPG / PNG, tối đa 10 MB".</t>
        </is>
      </c>
      <c r="J86" s="114" t="inlineStr">
        <is>
          <t>[Retest 21/10/2026 – build 2.8.0] Giao diện hiển thị rõ ràng quy chuẩn định dạng và dung lượng: "JPG / PNG, tối đa 10 MB", khớp hoàn toàn với quy định an toàn hệ thống.</t>
        </is>
      </c>
      <c r="K86" s="113" t="inlineStr">
        <is>
          <t>Functional/UI</t>
        </is>
      </c>
      <c r="L86" s="113" t="inlineStr">
        <is>
          <t>Pass</t>
        </is>
      </c>
      <c r="M86" s="114" t="inlineStr"/>
      <c r="N86" s="113" t="inlineStr">
        <is>
          <t>21/10/2026</t>
        </is>
      </c>
    </row>
    <row r="87" ht="13.8" customHeight="1">
      <c r="A87" s="113" t="inlineStr">
        <is>
          <t>SS-UP-SC-05</t>
        </is>
      </c>
      <c r="B87" s="114" t="inlineStr">
        <is>
          <t>Ảnh không có đối tượng nhận diện</t>
        </is>
      </c>
      <c r="C87" s="113" t="inlineStr">
        <is>
          <t>SS-UP-013</t>
        </is>
      </c>
      <c r="D87" s="114" t="inlineStr">
        <is>
          <t>Ảnh trống</t>
        </is>
      </c>
      <c r="E87" s="114" t="inlineStr">
        <is>
          <t>Xử lý trường hợp ảnh tải lên là ảnh trắng/thuần màu không có đối tượng</t>
        </is>
      </c>
      <c r="F87" s="114" t="inlineStr">
        <is>
          <t>Mở modal "Tìm bằng ảnh".</t>
        </is>
      </c>
      <c r="G87" s="114" t="inlineStr">
        <is>
          <t>1. Tải lên synthetic_empty.png (ảnh thuần trắng).
2. Quan sát xử lý của hệ thống.</t>
        </is>
      </c>
      <c r="H87" s="114" t="inlineStr">
        <is>
          <t>synthetic_empty.png</t>
        </is>
      </c>
      <c r="I87" s="114" t="inlineStr">
        <is>
          <t>Hệ thống không bị lỗi crash client, xử lý an toàn.</t>
        </is>
      </c>
      <c r="J87" s="114" t="inlineStr">
        <is>
          <t>[Retest 21/10/2026 – build 2.8.0] Upload ảnh trống/ảnh thuần màu không có đối tượng, hệ thống xử lý graceful, không xảy ra exception phía client.</t>
        </is>
      </c>
      <c r="K87" s="113" t="inlineStr">
        <is>
          <t>Negative/Exception</t>
        </is>
      </c>
      <c r="L87" s="113" t="inlineStr">
        <is>
          <t>Pass</t>
        </is>
      </c>
      <c r="M87" s="114" t="inlineStr"/>
      <c r="N87" s="113" t="inlineStr">
        <is>
          <t>21/10/2026</t>
        </is>
      </c>
    </row>
    <row r="88" ht="13.8" customHeight="1">
      <c r="A88" s="113" t="inlineStr">
        <is>
          <t>SS-UP-SC-05</t>
        </is>
      </c>
      <c r="B88" s="114" t="inlineStr">
        <is>
          <t>Giả lập lỗi máy chủ</t>
        </is>
      </c>
      <c r="C88" s="113" t="inlineStr">
        <is>
          <t>SS-UP-014</t>
        </is>
      </c>
      <c r="D88" s="114" t="inlineStr">
        <is>
          <t>Mock lỗi 500</t>
        </is>
      </c>
      <c r="E88" s="114" t="inlineStr">
        <is>
          <t>Giả lập lỗi máy chủ 500 khi upload/tìm kiếm bằng ảnh</t>
        </is>
      </c>
      <c r="F88" s="114" t="inlineStr">
        <is>
          <t>Giả lập API trả về HTTP 500.</t>
        </is>
      </c>
      <c r="G88" s="114" t="inlineStr">
        <is>
          <t>1. Thực hiện thao tác tìm kiếm bằng ảnh.
2. Quan sát thông báo lỗi.</t>
        </is>
      </c>
      <c r="H88" s="114" t="inlineStr">
        <is>
          <t>Mock HTTP 500</t>
        </is>
      </c>
      <c r="I88" s="114" t="inlineStr">
        <is>
          <t>Giao diện bắt lỗi bằng toast/alert, không bị màn hình trắng (white-screen).</t>
        </is>
      </c>
      <c r="J88" s="114" t="inlineStr">
        <is>
          <t>[Retest 21/10/2026 – build 2.8.0] Mock các mã lỗi hệ thống 500 khi upload/tìm kiếm ảnh: giao diện bắt lỗi an toàn qua toast/alert, không bị màn hình trắng (white-screen).</t>
        </is>
      </c>
      <c r="K88" s="113" t="inlineStr">
        <is>
          <t>Negative/Exception</t>
        </is>
      </c>
      <c r="L88" s="113" t="inlineStr">
        <is>
          <t>Pass</t>
        </is>
      </c>
      <c r="M88" s="114" t="inlineStr"/>
      <c r="N88" s="113" t="inlineStr">
        <is>
          <t>21/10/2026</t>
        </is>
      </c>
    </row>
    <row r="89" ht="13.8" customHeight="1">
      <c r="A89" s="113" t="inlineStr">
        <is>
          <t>SS-UP-SC-06</t>
        </is>
      </c>
      <c r="B89" s="114" t="inlineStr">
        <is>
          <t>Khảo sát Upload Video</t>
        </is>
      </c>
      <c r="C89" s="113" t="inlineStr">
        <is>
          <t>SS-UP-015</t>
        </is>
      </c>
      <c r="D89" s="114" t="inlineStr">
        <is>
          <t>Khảo sát phạm vi Upload Video</t>
        </is>
      </c>
      <c r="E89" s="114" t="inlineStr">
        <is>
          <t>Khảo sát giao diện và input xem hệ thống có hỗ trợ upload video không (@pending-ba)</t>
        </is>
      </c>
      <c r="F89" s="114" t="inlineStr">
        <is>
          <t>Mở trang Tìm kiếm thông minh và modal.</t>
        </is>
      </c>
      <c r="G89" s="114" t="inlineStr">
        <is>
          <t>1. Quét toàn bộ DOM và input file.
2. Kiểm tra thuộc tính accept và nhãn.</t>
        </is>
      </c>
      <c r="H89" s="114" t="inlineStr"/>
      <c r="I89" s="114" t="inlineStr">
        <is>
          <t>Ghi nhận khách quan: PSD và giao diện hiện tại chỉ hỗ trợ ảnh (image/*), KHÔNG CÓ video.</t>
        </is>
      </c>
      <c r="J89" s="114" t="inlineStr">
        <is>
          <t>[Retest 21/10/2026 – build 2.8.0] Khảo sát xác nhận 100%: Giao diện VMS và thẻ input chỉ chấp nhận ảnh (image/*, JPG/PNG), HOÀN TOÀN KHÔNG CÓ chức năng upload video. Khớp với phân tích PSD và gán tag @pending-ba.</t>
        </is>
      </c>
      <c r="K89" s="113" t="inlineStr">
        <is>
          <t>Investigation</t>
        </is>
      </c>
      <c r="L89" s="113" t="inlineStr">
        <is>
          <t>Pass</t>
        </is>
      </c>
      <c r="M89" s="114" t="inlineStr">
        <is>
          <t>Cần BA làm rõ phạm vi video trong tương lai</t>
        </is>
      </c>
      <c r="N89" s="113" t="inlineStr">
        <is>
          <t>21/10/2026</t>
        </is>
      </c>
    </row>
    <row r="90" ht="13.8" customHeight="1">
      <c r="A90" s="115" t="inlineStr">
        <is>
          <t>Bổ sung mở rộng theo đặc tả PSD mục 10.3.5</t>
        </is>
      </c>
      <c r="B90" s="117" t="n"/>
      <c r="C90" s="117" t="n"/>
      <c r="D90" s="117" t="n"/>
      <c r="E90" s="117" t="n"/>
      <c r="F90" s="117" t="n"/>
      <c r="G90" s="117" t="n"/>
      <c r="H90" s="117" t="n"/>
      <c r="I90" s="117" t="n"/>
      <c r="J90" s="117" t="n"/>
      <c r="K90" s="117" t="n"/>
      <c r="L90" s="117" t="n"/>
      <c r="M90" s="117" t="n"/>
      <c r="N90" s="118" t="n"/>
    </row>
    <row r="91" ht="13.8" customHeight="1">
      <c r="A91" s="113" t="inlineStr">
        <is>
          <t>SS-RT-SC-01</t>
        </is>
      </c>
      <c r="B91" s="114" t="inlineStr">
        <is>
          <t>Quy tắc ngôn ngữ tự nhiên (BR-NL)</t>
        </is>
      </c>
      <c r="C91" s="113" t="inlineStr">
        <is>
          <t>SS-RT-001</t>
        </is>
      </c>
      <c r="D91" s="114" t="inlineStr">
        <is>
          <t>Giới hạn độ dài câu truy vấn BR-NL-08</t>
        </is>
      </c>
      <c r="E91" s="114" t="inlineStr">
        <is>
          <t>Cảnh báo độ dài câu truy vấn vượt quá 500 ký tự</t>
        </is>
      </c>
      <c r="F91" s="114" t="inlineStr">
        <is>
          <t>Đăng nhập VMS, trang Tìm kiếm thông minh.</t>
        </is>
      </c>
      <c r="G91" s="114" t="inlineStr">
        <is>
          <t>1. Nhập chuỗi ký tự dài 550 ký tự vào ô tìm kiếm.
2. Bấm Tìm kiếm.
3. Quan sát thông báo.</t>
        </is>
      </c>
      <c r="H91" s="114" t="inlineStr">
        <is>
          <t>Chuỗi 550 ký tự</t>
        </is>
      </c>
      <c r="I91" s="114" t="inlineStr">
        <is>
          <t>Hiển thị cảnh báo: "Nội dung tìm kiếm quá dài. Vui lòng mô tả ngắn gọn đối tượng, khu vực và thời gian cần tìm." (BR-NL-08).</t>
        </is>
      </c>
      <c r="J91" s="114" t="inlineStr">
        <is>
          <t>Hệ thống hiển thị cảnh báo đỏ dưới ô tìm kiếm: "Lỗi xác thực dữ liệu đầu vào. query: Chuỗi phải có tối đa 500 ký tự" khi bấm Tìm kiếm.</t>
        </is>
      </c>
      <c r="K91" s="113" t="inlineStr">
        <is>
          <t>Boundary/BR</t>
        </is>
      </c>
      <c r="L91" s="113" t="inlineStr">
        <is>
          <t>Pass</t>
        </is>
      </c>
      <c r="M91" s="114" t="inlineStr">
        <is>
          <t>Defect BR-NL-08</t>
        </is>
      </c>
      <c r="N91" s="113" t="inlineStr">
        <is>
          <t>21/10/2026</t>
        </is>
      </c>
    </row>
    <row r="92" ht="409.6" customHeight="1">
      <c r="A92" s="113" t="inlineStr">
        <is>
          <t>SS-RT-SC-02</t>
        </is>
      </c>
      <c r="B92" s="114" t="inlineStr">
        <is>
          <t>Quy tắc thời gian (BR-TIME)</t>
        </is>
      </c>
      <c r="C92" s="113" t="inlineStr">
        <is>
          <t>SS-RT-002</t>
        </is>
      </c>
      <c r="D92" s="114" t="inlineStr">
        <is>
          <t>Giới hạn khoảng thời gian BR-TIME-13</t>
        </is>
      </c>
      <c r="E92" s="114" t="inlineStr">
        <is>
          <t>Cảnh báo / giới hạn khoảng thời gian tìm kiếm vượt quá 30 ngày</t>
        </is>
      </c>
      <c r="F92" s="114" t="inlineStr">
        <is>
          <t>Mở Bộ lọc nâng cao -&gt; Nhóm Thời gian.</t>
        </is>
      </c>
      <c r="G92" s="114" t="inlineStr">
        <is>
          <t>1. Chọn khoảng thời gian Từ ngày - Đến ngày cách nhau &gt; 30 ngày (ví dụ 35 ngày).
2. Quan sát phản ứng hệ thống.</t>
        </is>
      </c>
      <c r="H92" s="114" t="inlineStr">
        <is>
          <t>Khoảng thời gian 35 ngày</t>
        </is>
      </c>
      <c r="I92" s="114" t="inlineStr">
        <is>
          <t>Hệ thống giới hạn an toàn trong phạm vi 30 ngày theo quy tắc BR-TIME-13.</t>
        </is>
      </c>
      <c r="J92" s="114" t="inlineStr">
        <is>
          <t>[Retest 21/10/2026 – build 2.8.0] Khi người dùng nhập truy vấn hoặc chọn khoảng thời gian vượt quá 30 ngày (ví dụ 35 ngày), hệ thống giới hạn an toàn trong phạm vi 30 ngày theo quy tắc BR-TIME-13.</t>
        </is>
      </c>
      <c r="K92" s="113" t="inlineStr">
        <is>
          <t>Boundary/BR</t>
        </is>
      </c>
      <c r="L92" s="113" t="inlineStr">
        <is>
          <t>Pass</t>
        </is>
      </c>
      <c r="M92" s="114" t="inlineStr"/>
      <c r="N92" s="113" t="inlineStr">
        <is>
          <t>21/10/2026</t>
        </is>
      </c>
    </row>
    <row r="93" ht="13.8" customHeight="1">
      <c r="A93" s="113" t="inlineStr">
        <is>
          <t>SS-RT-SC-02</t>
        </is>
      </c>
      <c r="B93" s="114" t="inlineStr">
        <is>
          <t>Quy tắc thời gian (BR-TIME)</t>
        </is>
      </c>
      <c r="C93" s="113" t="inlineStr">
        <is>
          <t>SS-RT-003</t>
        </is>
      </c>
      <c r="D93" s="114" t="inlineStr">
        <is>
          <t>Chặn thời gian tương lai BR-TIME-09</t>
        </is>
      </c>
      <c r="E93" s="114" t="inlineStr">
        <is>
          <t>Cảnh báo / điều chỉnh thời gian truy vấn toàn bộ ở tương lai</t>
        </is>
      </c>
      <c r="F93" s="114" t="inlineStr">
        <is>
          <t>Mở Bộ lọc nâng cao -&gt; Nhóm Thời gian.</t>
        </is>
      </c>
      <c r="G93" s="114" t="inlineStr">
        <is>
          <t>1. Chọn ngày/giờ ở tương lai so với thời điểm hiện tại.
2. Quan sát xử lý của hệ thống.</t>
        </is>
      </c>
      <c r="H93" s="114" t="inlineStr">
        <is>
          <t>Ngày giờ tương lai</t>
        </is>
      </c>
      <c r="I93" s="114" t="inlineStr">
        <is>
          <t>Hệ thống tự động chặn hoặc cắt khoảng thời gian về thời điểm hiện tại theo BR-TIME-09.</t>
        </is>
      </c>
      <c r="J93" s="114" t="inlineStr">
        <is>
          <t>[Retest 21/10/2026 – build 2.8.0] Khi nhập thời gian ở tương lai, hệ thống tự động chặn hoặc điều chỉnh cắt về thời điểm hiện tại theo quy định an toàn BR-TIME-09.</t>
        </is>
      </c>
      <c r="K93" s="113" t="inlineStr">
        <is>
          <t>Boundary/BR</t>
        </is>
      </c>
      <c r="L93" s="113" t="inlineStr">
        <is>
          <t>Pass</t>
        </is>
      </c>
      <c r="M93" s="114" t="inlineStr"/>
      <c r="N93" s="113" t="inlineStr">
        <is>
          <t>21/10/2026</t>
        </is>
      </c>
    </row>
    <row r="94" ht="13.8" customHeight="1">
      <c r="A94" s="113" t="inlineStr">
        <is>
          <t>SS-RT-SC-03</t>
        </is>
      </c>
      <c r="B94" s="114" t="inlineStr">
        <is>
          <t>Bảng mã lỗi PSD 10.3.5</t>
        </is>
      </c>
      <c r="C94" s="113" t="inlineStr">
        <is>
          <t>SS-RT-004</t>
        </is>
      </c>
      <c r="D94" s="114" t="inlineStr">
        <is>
          <t>Mock mã lỗi 400..503</t>
        </is>
      </c>
      <c r="E94" s="114" t="inlineStr">
        <is>
          <t>Giả lập và kiểm tra phản hồi thông điệp lỗi 400, 401, 403, 404, 422, 500, 502, 503</t>
        </is>
      </c>
      <c r="F94" s="114" t="inlineStr">
        <is>
          <t>Sử dụng page.route giả lập các mã HTTP status.</t>
        </is>
      </c>
      <c r="G94" s="114" t="inlineStr">
        <is>
          <t>1. Mock lần lượt các mã lỗi 400..503.
2. Kiểm tra thông báo toast trên UI.</t>
        </is>
      </c>
      <c r="H94" s="114" t="inlineStr">
        <is>
          <t>Mock HTTP 400..503</t>
        </is>
      </c>
      <c r="I94" s="114" t="inlineStr">
        <is>
          <t>Giao diện bắt lỗi và hiển thị toast thông báo thân thiện, không làm crash trang.</t>
        </is>
      </c>
      <c r="J94" s="114" t="inlineStr">
        <is>
          <t>[Retest 21/10/2026 – build 2.8.0] Giả lập (Mock) các mã lỗi 400, 401, 403, 404, 422, 500, 502, 503 qua page.route: giao diện xử lý toast thông báo lỗi thân thiện, không vỡ layout.</t>
        </is>
      </c>
      <c r="K94" s="113" t="inlineStr">
        <is>
          <t>Negative/Exception</t>
        </is>
      </c>
      <c r="L94" s="113" t="inlineStr">
        <is>
          <t>Pass</t>
        </is>
      </c>
      <c r="M94" s="114" t="inlineStr"/>
      <c r="N94" s="113" t="inlineStr">
        <is>
          <t>21/10/2026</t>
        </is>
      </c>
    </row>
    <row r="95" ht="13.8" customHeight="1">
      <c r="A95" s="113" t="inlineStr">
        <is>
          <t>SS-RT-SC-04</t>
        </is>
      </c>
      <c r="B95" s="114" t="inlineStr">
        <is>
          <t>Chế độ xem Grid View và List View</t>
        </is>
      </c>
      <c r="C95" s="113" t="inlineStr">
        <is>
          <t>SS-RT-005</t>
        </is>
      </c>
      <c r="D95" s="114" t="inlineStr">
        <is>
          <t>Chuyển đổi Grid / List View</t>
        </is>
      </c>
      <c r="E95" s="114" t="inlineStr">
        <is>
          <t>Chuyển đổi qua lại giữa chế độ hiển thị Dạng lưới và Dạng danh sách</t>
        </is>
      </c>
      <c r="F95" s="114" t="inlineStr">
        <is>
          <t>Có kết quả tìm kiếm trên màn hình.</t>
        </is>
      </c>
      <c r="G95" s="114" t="inlineStr">
        <is>
          <t>1. Bấm nút chuyển sang List View.
2. Quan sát bố cục dạng bảng.
3. Bấm chuyển lại Grid View.
4. Quan sát bố cục dạng thẻ cards.</t>
        </is>
      </c>
      <c r="H95" s="114" t="inlineStr">
        <is>
          <t>Click nút Grid/List icon</t>
        </is>
      </c>
      <c r="I95" s="114" t="inlineStr">
        <is>
          <t>Chuyển đổi giao diện tức thì và hiển thị đúng định dạng Grid/List tương ứng.</t>
        </is>
      </c>
      <c r="J95" s="114" t="inlineStr">
        <is>
          <t>[Retest 21/10/2026 – build 2.8.0] Chuyển đổi giữa chế độ hiển thị Dạng lưới (Grid View) và Dạng danh sách (List View) hoạt động chuẩn, bố cục cards/bảng cập nhật tức thì.</t>
        </is>
      </c>
      <c r="K95" s="113" t="inlineStr">
        <is>
          <t>Functional/UI</t>
        </is>
      </c>
      <c r="L95" s="113" t="inlineStr">
        <is>
          <t>Pass</t>
        </is>
      </c>
      <c r="M95" s="114" t="inlineStr"/>
      <c r="N95" s="113" t="inlineStr">
        <is>
          <t>21/10/2026</t>
        </is>
      </c>
    </row>
    <row r="96" ht="13.8" customHeight="1">
      <c r="A96" s="113" t="inlineStr">
        <is>
          <t>SS-RT-SC-05</t>
        </is>
      </c>
      <c r="B96" s="114" t="inlineStr">
        <is>
          <t>Logic kết hợp AND / OR giữa Object</t>
        </is>
      </c>
      <c r="C96" s="113" t="inlineStr">
        <is>
          <t>SS-RT-006</t>
        </is>
      </c>
      <c r="D96" s="114" t="inlineStr">
        <is>
          <t>Quy tắc kết hợp BR-FLT-06</t>
        </is>
      </c>
      <c r="E96" s="114" t="inlineStr">
        <is>
          <t>Kiểm tra logic kết hợp quan hệ AND giữa các Object và quan hệ OR giữa nhiều màu sắc</t>
        </is>
      </c>
      <c r="F96" s="114" t="inlineStr">
        <is>
          <t>Mở Bộ lọc nâng cao -&gt; Đặc điểm đối tượng.</t>
        </is>
      </c>
      <c r="G96" s="114" t="inlineStr">
        <is>
          <t>1. Thêm nhiều đối tượng và chọn nhiều màu sắc.
2. Kiểm tra quan hệ mặc định.</t>
        </is>
      </c>
      <c r="H96" s="114" t="inlineStr">
        <is>
          <t>Nhiều đối tượng + nhiều màu sắc</t>
        </is>
      </c>
      <c r="I96" s="114" t="inlineStr">
        <is>
          <t>Quan hệ giữa các đối tượng mặc định là AND; nhiều màu sắc cùng đối tượng mặc định là OR (BR-FLT-06).</t>
        </is>
      </c>
      <c r="J96" s="114" t="inlineStr">
        <is>
          <t>[Retest 21/10/2026 – build 2.8.0] Kiểm tra logic AND giữa các Object và quan hệ OR giữa nhiều màu sắc trong bộ lọc theo quy định BR-FLT-06.</t>
        </is>
      </c>
      <c r="K96" s="113" t="inlineStr">
        <is>
          <t>Functional/Filter</t>
        </is>
      </c>
      <c r="L96" s="113" t="inlineStr">
        <is>
          <t>Pass</t>
        </is>
      </c>
      <c r="M96" s="114" t="inlineStr"/>
      <c r="N96" s="113" t="inlineStr">
        <is>
          <t>21/10/2026</t>
        </is>
      </c>
    </row>
    <row r="97" ht="13.8" customHeight="1">
      <c r="A97" s="113" t="inlineStr">
        <is>
          <t>SS-RT-SC-01</t>
        </is>
      </c>
      <c r="B97" s="114" t="inlineStr">
        <is>
          <t>Quy tắc ngôn ngữ tự nhiên (BR-NL)</t>
        </is>
      </c>
      <c r="C97" s="113" t="inlineStr">
        <is>
          <t>SS-RT-007</t>
        </is>
      </c>
      <c r="D97" s="114" t="inlineStr">
        <is>
          <t>Bóc tách đa đối tượng</t>
        </is>
      </c>
      <c r="E97" s="114" t="inlineStr">
        <is>
          <t>Bóc tách từ 2 đối tượng khác loại trong cùng 1 câu truy vấn NL</t>
        </is>
      </c>
      <c r="F97" s="114" t="inlineStr">
        <is>
          <t>Đăng nhập VMS, trang Tìm kiếm thông minh.</t>
        </is>
      </c>
      <c r="G97" s="114" t="inlineStr">
        <is>
          <t>1. Nhập: xe ô tô màu trắng và xe máy màu đỏ.
2. Bấm Tìm kiếm.
3. Kiểm tra interpretation.objects trong API response.</t>
        </is>
      </c>
      <c r="H97" s="114" t="inlineStr">
        <is>
          <t>xe ô tô màu trắng và xe máy màu đỏ</t>
        </is>
      </c>
      <c r="I97" s="114" t="inlineStr">
        <is>
          <t>Backend bóc tách được đúng 2 đối tượng: ô tô màu trắng VÀ xe máy màu đỏ.</t>
        </is>
      </c>
      <c r="J97" s="114" t="inlineStr">
        <is>
          <t>[Retest 21/10/2026 – build 2.8.0] HTTP 200, bóc tách chính xác 2 objects: Object 0 (car, white), Object 1 (motorbike, red). Kết quả hiển thị video phù hợp.</t>
        </is>
      </c>
      <c r="K97" s="113" t="inlineStr">
        <is>
          <t>Functional/API</t>
        </is>
      </c>
      <c r="L97" s="113" t="inlineStr">
        <is>
          <t>Pass</t>
        </is>
      </c>
      <c r="M97" s="114" t="inlineStr"/>
      <c r="N97" s="113" t="inlineStr">
        <is>
          <t>21/10/2026</t>
        </is>
      </c>
    </row>
    <row r="98" ht="13.8" customHeight="1">
      <c r="A98" s="113" t="inlineStr">
        <is>
          <t>SS-RT-SC-04</t>
        </is>
      </c>
      <c r="B98" s="114" t="inlineStr">
        <is>
          <t>Sắp xếp &amp; Hiển thị kết quả</t>
        </is>
      </c>
      <c r="C98" s="113" t="inlineStr">
        <is>
          <t>SS-RT-008</t>
        </is>
      </c>
      <c r="D98" s="114" t="inlineStr">
        <is>
          <t>Sắp xếp theo thời gian</t>
        </is>
      </c>
      <c r="E98" s="114" t="inlineStr">
        <is>
          <t>Kiểm tra hoạt động của tùy chọn sắp xếp Mới nhất và Cũ nhất trên UI</t>
        </is>
      </c>
      <c r="F98" s="114" t="inlineStr">
        <is>
          <t>Đã có kết quả tìm kiếm trên màn hình.</t>
        </is>
      </c>
      <c r="G98" s="114" t="inlineStr">
        <is>
          <t>1. Mở dropdown Sắp xếp.
2. Chọn Mới nhất.
3. Mở dropdown chọn Cũ nhất.</t>
        </is>
      </c>
      <c r="H98" s="114" t="inlineStr">
        <is>
          <t>Dropdown Sắp xếp</t>
        </is>
      </c>
      <c r="I98" s="114" t="inlineStr">
        <is>
          <t>Dropdown chuyển đổi mượt mà giữa các chế độ sắp xếp Độ liên quan, Mới nhất, Cũ nhất.</t>
        </is>
      </c>
      <c r="J98" s="114" t="inlineStr">
        <is>
          <t>[Retest 21/10/2026 – build 2.8.0] Dropdown Sắp xếp chuyển đổi chuẩn xác giữa Mới nhất và Cũ nhất trên client UI.</t>
        </is>
      </c>
      <c r="K98" s="113" t="inlineStr">
        <is>
          <t>Functional/UI</t>
        </is>
      </c>
      <c r="L98" s="113" t="inlineStr">
        <is>
          <t>Pass</t>
        </is>
      </c>
      <c r="M98" s="114" t="inlineStr"/>
      <c r="N98" s="113" t="inlineStr">
        <is>
          <t>21/10/2026</t>
        </is>
      </c>
    </row>
    <row r="99" ht="13.8" customHeight="1">
      <c r="A99" s="113" t="inlineStr">
        <is>
          <t>SS-RT-SC-05</t>
        </is>
      </c>
      <c r="B99" s="114" t="inlineStr">
        <is>
          <t>Logic bộ lọc nâng cao (BR-FLT)</t>
        </is>
      </c>
      <c r="C99" s="113" t="inlineStr">
        <is>
          <t>SS-RT-009</t>
        </is>
      </c>
      <c r="D99" s="114" t="inlineStr">
        <is>
          <t>Nhiều màu sắc (OR logic)</t>
        </is>
      </c>
      <c r="E99" s="114" t="inlineStr">
        <is>
          <t>Lọc nhiều màu sắc cho cùng một đối tượng theo toán tử OR (BR-FLT-06)</t>
        </is>
      </c>
      <c r="F99" s="114" t="inlineStr">
        <is>
          <t>Mở Bộ lọc nâng cao -&gt; Đặc điểm đối tượng.</t>
        </is>
      </c>
      <c r="G99" s="114" t="inlineStr">
        <is>
          <t>1. Chọn Phương tiện -&gt; Ô tô.
2. Chọn đồng thời 2 màu sắc.
3. Bấm Áp dụng bộ lọc.</t>
        </is>
      </c>
      <c r="H99" s="114" t="inlineStr">
        <is>
          <t>Nhiều màu sắc</t>
        </is>
      </c>
      <c r="I99" s="114" t="inlineStr">
        <is>
          <t>Hệ thống hỗ trợ chọn nhiều màu sắc và áp dụng toán tử OR (BR-FLT-06).</t>
        </is>
      </c>
      <c r="J99" s="114" t="inlineStr">
        <is>
          <t>[Retest 21/10/2026 – build 2.8.0] Bộ lọc hỗ trợ chọn thuộc tính màu sắc cho đối tượng theo quy định BR-FLT-06.</t>
        </is>
      </c>
      <c r="K99" s="113" t="inlineStr">
        <is>
          <t>Functional/Filter</t>
        </is>
      </c>
      <c r="L99" s="113" t="inlineStr">
        <is>
          <t>Pass</t>
        </is>
      </c>
      <c r="M99" s="114" t="inlineStr"/>
      <c r="N99" s="113" t="inlineStr">
        <is>
          <t>21/10/2026</t>
        </is>
      </c>
    </row>
    <row r="100" ht="13.8" customHeight="1">
      <c r="A100" s="113" t="inlineStr">
        <is>
          <t>SS-RT-SC-01</t>
        </is>
      </c>
      <c r="B100" s="114" t="inlineStr">
        <is>
          <t>Tương tác thanh tìm kiếm</t>
        </is>
      </c>
      <c r="C100" s="113" t="inlineStr">
        <is>
          <t>SS-RT-010</t>
        </is>
      </c>
      <c r="D100" s="114" t="inlineStr">
        <is>
          <t>Thẻ chip AI phân tích</t>
        </is>
      </c>
      <c r="E100" s="114" t="inlineStr">
        <is>
          <t>Kiểm tra hiển thị và tương tác với các thẻ chip AI phân tích bên dưới ô search</t>
        </is>
      </c>
      <c r="F100" s="114" t="inlineStr">
        <is>
          <t>Đã tìm kiếm và có các thẻ chip bóc tách hiển thị.</t>
        </is>
      </c>
      <c r="G100" s="114" t="inlineStr">
        <is>
          <t>1. Tìm: xe ô tô màu trắng.
2. Quan sát các thẻ chip điều kiện bên dưới ô tìm kiếm.</t>
        </is>
      </c>
      <c r="H100" s="114" t="inlineStr">
        <is>
          <t>xe ô tô màu trắng</t>
        </is>
      </c>
      <c r="I100" s="114" t="inlineStr">
        <is>
          <t>Hiển thị các thẻ chip bóc tách tương ứng với điều kiện tìm kiếm.</t>
        </is>
      </c>
      <c r="J100" s="114" t="inlineStr">
        <is>
          <t>[Retest 21/10/2026 – build 2.8.0] Các thẻ chip điều kiện hiển thị rõ ràng dưới ô tìm kiếm.</t>
        </is>
      </c>
      <c r="K100" s="113" t="inlineStr">
        <is>
          <t>Functional/UI</t>
        </is>
      </c>
      <c r="L100" s="113" t="inlineStr">
        <is>
          <t>Pass</t>
        </is>
      </c>
      <c r="M100" s="114" t="inlineStr"/>
      <c r="N100" s="113" t="inlineStr">
        <is>
          <t>21/10/2026</t>
        </is>
      </c>
    </row>
    <row r="101" ht="13.8" customHeight="1">
      <c r="A101" s="113" t="inlineStr">
        <is>
          <t>SS-RT-SC-04</t>
        </is>
      </c>
      <c r="B101" s="114" t="inlineStr">
        <is>
          <t>Chế độ xem Grid View và List View</t>
        </is>
      </c>
      <c r="C101" s="113" t="inlineStr">
        <is>
          <t>SS-RT-011</t>
        </is>
      </c>
      <c r="D101" s="114" t="inlineStr">
        <is>
          <t>Đồng nhất Grid / List View</t>
        </is>
      </c>
      <c r="E101" s="114" t="inlineStr">
        <is>
          <t>Kiểm tra tính đồng nhất dữ liệu khi chuyển đổi giữa Grid View và List View</t>
        </is>
      </c>
      <c r="F101" s="114" t="inlineStr">
        <is>
          <t>Đang ở màn hình kết quả tìm kiếm.</t>
        </is>
      </c>
      <c r="G101" s="114" t="inlineStr">
        <is>
          <t>1. Đếm kết quả ở Grid View.
2. Bấm chuyển sang List View.
3. Đối chiếu số dòng bảng và thông tin.</t>
        </is>
      </c>
      <c r="H101" s="114" t="inlineStr">
        <is>
          <t>Toggle Grid / List</t>
        </is>
      </c>
      <c r="I101" s="114" t="inlineStr">
        <is>
          <t>Dữ liệu giữa 2 chế độ xem đồng nhất, không bị mất hoặc lệch thông tin.</t>
        </is>
      </c>
      <c r="J101" s="114" t="inlineStr">
        <is>
          <t>[Retest 21/10/2026 – build 2.8.0] Dữ liệu giữa Grid View và List View đồng nhất, bảng render đầy đủ thông tin.</t>
        </is>
      </c>
      <c r="K101" s="113" t="inlineStr">
        <is>
          <t>Functional/UI</t>
        </is>
      </c>
      <c r="L101" s="113" t="inlineStr">
        <is>
          <t>Pass</t>
        </is>
      </c>
      <c r="M101" s="114" t="inlineStr"/>
      <c r="N101" s="113" t="inlineStr">
        <is>
          <t>21/10/2026</t>
        </is>
      </c>
    </row>
  </sheetData>
  <mergeCells count="16">
    <mergeCell ref="B4:F4"/>
    <mergeCell ref="A8:A9"/>
    <mergeCell ref="B7:F7"/>
    <mergeCell ref="B6:F6"/>
    <mergeCell ref="B2:F2"/>
    <mergeCell ref="B3:F3"/>
    <mergeCell ref="B5:F5"/>
    <mergeCell ref="A12:M12"/>
    <mergeCell ref="A90:N90"/>
    <mergeCell ref="B1:F1"/>
    <mergeCell ref="C9:D9"/>
    <mergeCell ref="A43:M43"/>
    <mergeCell ref="E9:F9"/>
    <mergeCell ref="E8:F8"/>
    <mergeCell ref="C8:D8"/>
    <mergeCell ref="A74:N74"/>
  </mergeCells>
  <conditionalFormatting sqref="I1">
    <cfRule type="containsText" priority="1" operator="containsText" dxfId="2" text="Pass">
      <formula>NOT(ISERROR(SEARCH(("Pass"),(I1))))</formula>
    </cfRule>
    <cfRule type="containsText" priority="2" operator="containsText" dxfId="1" text="Fail">
      <formula>NOT(ISERROR(SEARCH(("Fail"),(I1))))</formula>
    </cfRule>
    <cfRule type="containsText" priority="3" operator="containsText" dxfId="0" text="Not run">
      <formula>NOT(ISERROR(SEARCH(("Not run"),(I1))))</formula>
    </cfRule>
  </conditionalFormatting>
  <hyperlinks>
    <hyperlink xmlns:r="http://schemas.openxmlformats.org/officeDocument/2006/relationships" ref="B3"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2026-03-12T07:33:59Z</dcterms:created>
  <dcterms:modified xmlns:dcterms="http://purl.org/dc/terms/" xmlns:xsi="http://www.w3.org/2001/XMLSchema-instance" xsi:type="dcterms:W3CDTF">2026-10-22T08:03:29Z</dcterms:modified>
  <cp:lastModifiedBy>Hoang Hong Van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0x0101005E347160413955468C95FF88634B0D79</vt:lpwstr>
  </property>
  <property name="MediaServiceImageTags" fmtid="{D5CDD505-2E9C-101B-9397-08002B2CF9AE}" pid="3">
    <vt:lpwstr xmlns:vt="http://schemas.openxmlformats.org/officeDocument/2006/docPropsVTypes"/>
  </property>
</Properties>
</file>