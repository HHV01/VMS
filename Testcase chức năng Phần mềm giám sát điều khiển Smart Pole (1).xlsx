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mc:AlternateContent xmlns:mc="http://schemas.openxmlformats.org/markup-compatibility/2006">
    <mc:Choice Requires="x15">
      <x15ac:absPath xmlns:x15ac="http://schemas.microsoft.com/office/spreadsheetml/2010/11/ac" url="https://becamexcomvn.sharepoint.com/sites/SmartPole/Shared Documents/General/3_Testing/"/>
    </mc:Choice>
  </mc:AlternateContent>
  <xr:revisionPtr revIDLastSave="0" documentId="8_{9AA10159-1447-4C8C-8268-FA9F1180AB7E}" xr6:coauthVersionLast="47" xr6:coauthVersionMax="47" xr10:uidLastSave="{00000000-0000-0000-0000-000000000000}"/>
  <bookViews>
    <workbookView xWindow="0" yWindow="660" windowWidth="30240" windowHeight="17900" firstSheet="10" activeTab="10" xr2:uid="{00000000-000D-0000-FFFF-FFFF00000000}"/>
  </bookViews>
  <sheets>
    <sheet name="Dashboard" sheetId="3" r:id="rId1"/>
    <sheet name="Surveillance" sheetId="4" r:id="rId2"/>
    <sheet name="Public-address" sheetId="5" r:id="rId3"/>
    <sheet name="Energy" sheetId="6" state="hidden" r:id="rId4"/>
    <sheet name="Environmental" sheetId="10" r:id="rId5"/>
    <sheet name="Multimedia" sheetId="8" r:id="rId6"/>
    <sheet name="Power" sheetId="15" r:id="rId7"/>
    <sheet name="Wifi" sheetId="7" r:id="rId8"/>
    <sheet name="Emergency" sheetId="9" r:id="rId9"/>
    <sheet name="Smart Lighting" sheetId="1" r:id="rId10"/>
    <sheet name="Rule Engine" sheetId="14" r:id="rId11"/>
    <sheet name="Demo thông minh" sheetId="13" r:id="rId12"/>
    <sheet name="Settings" sheetId="12" r:id="rId13"/>
    <sheet name="Users" sheetId="11"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5" l="1"/>
  <c r="C9" i="15"/>
  <c r="B9" i="15"/>
  <c r="B9" i="7"/>
  <c r="D9" i="7"/>
  <c r="D9" i="8"/>
  <c r="C9" i="8"/>
  <c r="B9" i="8"/>
  <c r="B9" i="4"/>
  <c r="C9" i="4"/>
  <c r="D9" i="4"/>
  <c r="B9" i="1"/>
  <c r="C9" i="1"/>
  <c r="D9" i="1"/>
  <c r="B9" i="3"/>
  <c r="B9" i="9"/>
  <c r="C9" i="9"/>
  <c r="D9" i="9"/>
  <c r="D9" i="12"/>
  <c r="C9" i="12"/>
  <c r="B9" i="12"/>
  <c r="D9" i="11"/>
  <c r="C9" i="11"/>
  <c r="B9" i="11"/>
  <c r="D9" i="10"/>
  <c r="C9" i="10"/>
  <c r="B9" i="10"/>
  <c r="C9" i="7"/>
  <c r="D9" i="6"/>
  <c r="C9" i="6"/>
  <c r="B9" i="6"/>
  <c r="D9" i="5"/>
  <c r="C9" i="5"/>
  <c r="B9" i="5"/>
</calcChain>
</file>

<file path=xl/sharedStrings.xml><?xml version="1.0" encoding="utf-8"?>
<sst xmlns="http://schemas.openxmlformats.org/spreadsheetml/2006/main" count="8597" uniqueCount="4813">
  <si>
    <t>Tên module (Module's Name.:</t>
  </si>
  <si>
    <t xml:space="preserve">Dashboard </t>
  </si>
  <si>
    <t>Version</t>
  </si>
  <si>
    <t>Ngày</t>
  </si>
  <si>
    <t>Tên người chỉnh sửa</t>
  </si>
  <si>
    <t>Nội dung chỉnh sửa</t>
  </si>
  <si>
    <t>Tài liệu (Reference Document.:</t>
  </si>
  <si>
    <t>https://becamexcomvn.sharepoint.com/sites/SmartPole/Shared%20Documents/Forms/AllItems.aspx?id=%2Fsites%2FSmartPole%2FShared%20Documents%2FGeneral%2F3%5FTesting&amp;viewid=bd6ecf16%2Dd434%2D4481%2D9519%2D43b3d359c084</t>
  </si>
  <si>
    <t>v 0.0.1</t>
  </si>
  <si>
    <t>25/03/2026</t>
  </si>
  <si>
    <t xml:space="preserve">Nguyễn Thị Minh Tâm </t>
  </si>
  <si>
    <t>Cập nhật theo phân tích mới</t>
  </si>
  <si>
    <t>Thiết kế (Design.:</t>
  </si>
  <si>
    <t>https://www.figma.com/design/K28cNHKzebkL6egcCCx7V9/Wireframes?node-id=8502-5790&amp;t=5S5lygNqwcVmAPta-0</t>
  </si>
  <si>
    <t>Người tạo (Author.:</t>
  </si>
  <si>
    <t>Hoàng Hồng Vân</t>
  </si>
  <si>
    <t>Ngày tạo (Creation Date.:</t>
  </si>
  <si>
    <t>Người review (Reviewer.:</t>
  </si>
  <si>
    <t>Đinh Đức Liêm</t>
  </si>
  <si>
    <t>Phiên bản (Version.:</t>
  </si>
  <si>
    <t>Kết quả (Results.:</t>
  </si>
  <si>
    <t>Tổng số case (Total cases.</t>
  </si>
  <si>
    <t>Pass</t>
  </si>
  <si>
    <t>Fail</t>
  </si>
  <si>
    <t>Mã kịch bản
(Scenario ID.</t>
  </si>
  <si>
    <t>Tên kịch bản kiểm thử
(Test Scenario Title.</t>
  </si>
  <si>
    <t>Mã kiểm thử
(Test case ID.</t>
  </si>
  <si>
    <t>Kịch bản chi tiết
(Test Case Description.</t>
  </si>
  <si>
    <t>Điều kiện tiên quyết
(Pre-Conditions.</t>
  </si>
  <si>
    <t>Các bước kiểm thử
(Test steps.</t>
  </si>
  <si>
    <t>Kết quả mong đợi
(Expected Results.</t>
  </si>
  <si>
    <t>Kết quả thực tế
(Actual Results.</t>
  </si>
  <si>
    <t>Type</t>
  </si>
  <si>
    <t>Tình trạng
(Status.</t>
  </si>
  <si>
    <t>Chú thích
(Notes.</t>
  </si>
  <si>
    <t>Tester</t>
  </si>
  <si>
    <t>DASH-HEADER-001</t>
  </si>
  <si>
    <t xml:space="preserve">Kiểm tra giao diện </t>
  </si>
  <si>
    <t>DB-001</t>
  </si>
  <si>
    <t>Hiển thị tiêu đề và phụ đề hệ thống</t>
  </si>
  <si>
    <t>Người dùng truy cập Dashboard.</t>
  </si>
  <si>
    <t>1. Đăng nhập.
2. Quan sát title và subtitle trên header.</t>
  </si>
  <si>
    <t>Tiêu đề và phụ đề hiển thị đúng theo thiết kế; không cắt chữ; font/căn lề đồng nhất.</t>
  </si>
  <si>
    <t> </t>
  </si>
  <si>
    <t>UI</t>
  </si>
  <si>
    <t>PASS</t>
  </si>
  <si>
    <t>DB-002</t>
  </si>
  <si>
    <t>Badge trạng thái hệ thống Online</t>
  </si>
  <si>
    <t>Người dùng đã đăng nhập hệ thống và có quyền truy cập Dashboard.</t>
  </si>
  <si>
    <t>1. Đảm bảo hệ thống online.
2. Mở Dashboard.</t>
  </si>
  <si>
    <t>Badge 'Hệ thống đang hoạt động' hiển thị đúng màu/icon.</t>
  </si>
  <si>
    <t>Functional</t>
  </si>
  <si>
    <t>DB-003</t>
  </si>
  <si>
    <t>Badge 'Mất kết nối' khi backend hoặc thiết bị offline</t>
  </si>
  <si>
    <t>1. Ngắt kết nối backend/thiết bị.
2. Tải lại Dashboard.</t>
  </si>
  <si>
    <t>Badge 'Mất kết nối' hiển thị đúng; khi reconnect badge cập nhật lại bình thường.</t>
  </si>
  <si>
    <t>Negative</t>
  </si>
  <si>
    <t>DB-004</t>
  </si>
  <si>
    <t>Icon thông báo và badge số lượng</t>
  </si>
  <si>
    <t>Có dữ liệu thông báo trên hệ thống.</t>
  </si>
  <si>
    <t>1. Mở Dashboard.
2. Quan sát icon chuông và badge số.</t>
  </si>
  <si>
    <t>Icon thông báo hiển thị đúng; badge hiển thị đúng số lượng chưa đọc.</t>
  </si>
  <si>
    <t>DB-005</t>
  </si>
  <si>
    <t>Mở/đóng panel thông báo</t>
  </si>
  <si>
    <t>1. Click icon chuông.
2. Click lại hoặc click ra ngoài.</t>
  </si>
  <si>
    <t>Panel/danh sách thông báo mở đúng vị trí; đóng được; không lệch layout.</t>
  </si>
  <si>
    <t>DB-006</t>
  </si>
  <si>
    <t>Chuyển ngôn ngữ VI/EN</t>
  </si>
  <si>
    <t>Hệ thống hỗ trợ đa ngôn ngữ; người dùng đã đăng nhập.</t>
  </si>
  <si>
    <t>1. Click bộ chọn ngôn ngữ.
2. Chuyển VI/EN.</t>
  </si>
  <si>
    <t>Text trên Dashboard đổi đúng ngôn ngữ; không bị lẫn ngôn ngữ.</t>
  </si>
  <si>
    <t>DB-007</t>
  </si>
  <si>
    <t>Chuyển theme Dark/Light</t>
  </si>
  <si>
    <t>Hệ thống hỗ trợ đổi theme; người dùng đã đăng nhập.</t>
  </si>
  <si>
    <t>1. Click icon theme.
2. Chuyển giữa Dark/Light.</t>
  </si>
  <si>
    <t>Màu nền, text, icon và card đổi đúng theme; không mất tương phản.</t>
  </si>
  <si>
    <t>DB-008</t>
  </si>
  <si>
    <t>Hiển thị tên người dùng/Avatar trên header</t>
  </si>
  <si>
    <t>Người dùng đã đăng nhập bằng tài khoản hợp lệ.</t>
  </si>
  <si>
    <t>1. Đăng nhập.
2. Quan sát khu vực user trên header.</t>
  </si>
  <si>
    <t>Tên người dùng hiển thị đúng; icon/avatar không méo.</t>
  </si>
  <si>
    <t>DB-009</t>
  </si>
  <si>
    <t>Logout từ icon nguồn/logout</t>
  </si>
  <si>
    <t>1. Click icon logout.
2. Xác nhận logout (nếu có..</t>
  </si>
  <si>
    <t>Hệ thống logout thành công và quay về màn hình đăng nhập.</t>
  </si>
  <si>
    <t>DB-010</t>
  </si>
  <si>
    <t>Session timeout khi đang ở Dashboard</t>
  </si>
  <si>
    <t>1. Để phiên hết hạn.
2. Thực hiện thao tác bất kỳ.</t>
  </si>
  <si>
    <t>Người dùng bị chuyển về login hoặc hiển thị thông báo hết phiên; không lặp vô hạn.</t>
  </si>
  <si>
    <t>Security</t>
  </si>
  <si>
    <t>DB-011</t>
  </si>
  <si>
    <t>Hiển thị đầy đủ menu sidebar theo thiết kế</t>
  </si>
  <si>
    <t>1. Mở Dashboard.
2. Quan sát danh sách menu trái.</t>
  </si>
  <si>
    <t>Sidebar hiển thị đầy đủ icon + label; không tràn dòng; đúng thứ tự module.</t>
  </si>
  <si>
    <t>DASH-SIDEBAR-001</t>
  </si>
  <si>
    <t> Kiểm tra Sidebar Navigation</t>
  </si>
  <si>
    <t>DB-012</t>
  </si>
  <si>
    <t>Dashboard được highlight khi đang ở trang Dashboard</t>
  </si>
  <si>
    <t>1. Mở Dashboard.</t>
  </si>
  <si>
    <t>Menu 'Bảng điều khiển' ở trạng thái active duy nhất.</t>
  </si>
  <si>
    <t>DB-013</t>
  </si>
  <si>
    <t>Hover trạng thái menu</t>
  </si>
  <si>
    <t>1. Di chuột qua từng menu.</t>
  </si>
  <si>
    <t>Menu hover đổi màu/nền đúng; cursor pointer; không giật layout.</t>
  </si>
  <si>
    <t>DB-014</t>
  </si>
  <si>
    <t>Điều hướng tới Smart Lighting</t>
  </si>
  <si>
    <t>1. Click menu 'Chiếu sáng thông minh'.</t>
  </si>
  <si>
    <t>Điều hướng đúng module Smart Lighting; tiêu đề/trang tương ứng hiển thị.</t>
  </si>
  <si>
    <t>Functional/UI</t>
  </si>
  <si>
    <t>DB-015</t>
  </si>
  <si>
    <t>Điều hướng tới Camera giám sát</t>
  </si>
  <si>
    <t>1. Click menu 'Camera giám sát'.</t>
  </si>
  <si>
    <t>Điều hướng đúng module Camera giám sát.</t>
  </si>
  <si>
    <t>DB-016</t>
  </si>
  <si>
    <t>Điều hướng tới Loa phát thanh</t>
  </si>
  <si>
    <t>1. Click menu 'Loa phát thanh'.</t>
  </si>
  <si>
    <t>Điều hướng đúng module Loa phát thanh.</t>
  </si>
  <si>
    <t>DB-017</t>
  </si>
  <si>
    <t>Điều hướng tới Năng lượng xanh</t>
  </si>
  <si>
    <t>1. Click menu 'Năng lượng xanh'.</t>
  </si>
  <si>
    <t>Điều hướng đúng module Năng lượng xanh.</t>
  </si>
  <si>
    <t>DB-018</t>
  </si>
  <si>
    <t>Điều hướng tới WiFi công cộng</t>
  </si>
  <si>
    <t>1. Click menu 'WiFi công cộng'.</t>
  </si>
  <si>
    <t>Điều hướng đúng module WiFi công cộng.</t>
  </si>
  <si>
    <t>DB-019</t>
  </si>
  <si>
    <t>Điều hướng tới Đa phương tiện</t>
  </si>
  <si>
    <t>1. Click menu 'Đa phương tiện'.</t>
  </si>
  <si>
    <t>Điều hướng đúng module Đa phương tiện.</t>
  </si>
  <si>
    <t>DB-020</t>
  </si>
  <si>
    <t>Điều hướng tới Nút nhấn khẩn cấp</t>
  </si>
  <si>
    <t>1. Click menu 'Nút nhấn khẩn cấp'.</t>
  </si>
  <si>
    <t>Điều hướng đúng module Emergency.</t>
  </si>
  <si>
    <t>DB-021</t>
  </si>
  <si>
    <t>Điều hướng tới Môi trường</t>
  </si>
  <si>
    <t>1. Click menu 'Môi trường'.</t>
  </si>
  <si>
    <t>Điều hướng đúng module Môi trường.</t>
  </si>
  <si>
    <t>DB-022</t>
  </si>
  <si>
    <t>Điều hướng tới Kịch bản tự động</t>
  </si>
  <si>
    <t>1. Click menu 'Kịch bản tự động'.</t>
  </si>
  <si>
    <t>Điều hướng đúng module Kịch bản tự động.</t>
  </si>
  <si>
    <t>DB-023</t>
  </si>
  <si>
    <t>Điều hướng tới Quản lý người dùng</t>
  </si>
  <si>
    <t>1. Click menu 'Quản lý người dùng'.</t>
  </si>
  <si>
    <t>Điều hướng đúng module Users.</t>
  </si>
  <si>
    <t>DB-024</t>
  </si>
  <si>
    <t>Điều hướng tới Cài đặt</t>
  </si>
  <si>
    <t>1. Click menu 'Cài đặt'.</t>
  </si>
  <si>
    <t>Điều hướng đúng module Settings.</t>
  </si>
  <si>
    <t>DB-025</t>
  </si>
  <si>
    <t>Thu gọn/mở rộng sidebar bằng icon điều khiển</t>
  </si>
  <si>
    <t>1. Click icon thu gọn ở góc sidebar/header.
2. Click lại để mở rộng.</t>
  </si>
  <si>
    <t>Sidebar thu gọn/mở rộng đúng; icon và label hiển thị theo spec.</t>
  </si>
  <si>
    <t>DB-026</t>
  </si>
  <si>
    <t>Responsive sidebar ở màn hình nhỏ</t>
  </si>
  <si>
    <t>1. Resize về 1366x768.
2. Quan sát sidebar.</t>
  </si>
  <si>
    <t>Sidebar vẫn usable; không che nội dung chính; có scroll nếu cần.</t>
  </si>
  <si>
    <t>Responsive</t>
  </si>
  <si>
    <t>DASH-KPI-001</t>
  </si>
  <si>
    <t> Kiểm tra card các chỉ số hiệu suất / KPI</t>
  </si>
  <si>
    <t>DB-027</t>
  </si>
  <si>
    <t>Hiển thị đủ cards trên đầu trang</t>
  </si>
  <si>
    <t>1. Mở Dashboard.
2. Quan sát vùng KPI đầu trang.</t>
  </si>
  <si>
    <t>Hiển thị đủ 4 card: Tỷ lệ hoạt động, Tiết kiệm năng lượng, Số kịch bản thành công, Sự kiện chưa xử lý.</t>
  </si>
  <si>
    <t>DB-028</t>
  </si>
  <si>
    <t>Kiểm tra KPI chỉ tính trong ngày hiện tại (00:00–23:59.</t>
  </si>
  <si>
    <t>1.Mở Dashboard
2. So sánh dữ liệu KPI với DB</t>
  </si>
  <si>
    <t>Chỉ lấy dữ liệu trong ngày hiện tại
Không bao gồm dữ liệu ngày trước hoặc ngày sau</t>
  </si>
  <si>
    <t>FAIL</t>
  </si>
  <si>
    <t>DB-029</t>
  </si>
  <si>
    <t>Kiểm tra hệ thống reset và tính lại KPI khi chuyển sang ngày mới</t>
  </si>
  <si>
    <t>1. Mở Dashboard lúc 00:00
2. Quan sát vùng KPI đầu trang.</t>
  </si>
  <si>
    <t>Tất cả KPI = 0 hoặc giá trị khởi tạo đúng
Không còn dữ liệu của ngày cũ</t>
  </si>
  <si>
    <t>OPEN</t>
  </si>
  <si>
    <t>DB-030</t>
  </si>
  <si>
    <t>Kiểm tra tỷ lệ hoạt động được tính theo công thức thời gian hoạt động chia cho tổng thời gian trong ngày</t>
  </si>
  <si>
    <t>1. Mở Dashboard
2. Lấy dữ liệu thời gian hoạt động (uptime. trong ngày từ hệ thống
3. Tính toán thủ công: thời gian hoạt động / 24 giờ 
4. So sánh với giá trị hiển thị trên card “Tỷ lệ hoạt động”</t>
  </si>
  <si>
    <t>Giá trị hiển thị đúng theo công thức (uptime / tổng thời gian trong ngày.
Hiển thị đúng đơn vị phần trăm (%.
Không bị sai lệch do làm tròn số</t>
  </si>
  <si>
    <t>Boundary</t>
  </si>
  <si>
    <t>DB-031</t>
  </si>
  <si>
    <t>Kiểm tra card tỷ lệ hoạt động hiển thị đúng đơn vị phần trăm</t>
  </si>
  <si>
    <t>1.Mở Dashboard
2.  Quan sát card 'Tỷ lệ hoạt động'.</t>
  </si>
  <si>
    <t>Giá trị hiển thị theo định dạng %; không hiển thị null/NaN.</t>
  </si>
  <si>
    <t>DB-032</t>
  </si>
  <si>
    <t>Kiểm tra giá trị tiết kiệm năng lượng được tính toán và hiển thị đúng</t>
  </si>
  <si>
    <t>1.Mở Dashboard
2. Lấy dữ liệu năng lượng thực tế và dữ liệu baseline (nếu có. từ hệ thống/DB
3. Tính toán thủ công mức tiết kiệm năng lượng theo công thức hệ thống (ví dụ: baseline – thực tế.
4. So sánh với giá trị hiển thị trên card “Tiết kiệm năng lượng”</t>
  </si>
  <si>
    <t>Giá trị hiển thị đúng với kết quả tính toán
Hiển thị đúng đơn vị kWh
Định dạng số chính xác</t>
  </si>
  <si>
    <t xml:space="preserve"> Chưa có công thức tính </t>
  </si>
  <si>
    <t>DB-033</t>
  </si>
  <si>
    <t>Kiểm tra card năng lượng hiển thị đúng đơn vị kWh</t>
  </si>
  <si>
    <t>1.Mở Dashboard
2. Quan sát card 'Tiết kiệm năng lượng'.</t>
  </si>
  <si>
    <t>Giá trị và đơn vị kW hiển thị đúng; căn lề nhất quán.</t>
  </si>
  <si>
    <t>DB-034</t>
  </si>
  <si>
    <t>Kiểm tra chỉ đếm các kịch bản có trạng thái completed trong ngày hiện tại</t>
  </si>
  <si>
    <t>1.Mở Dashboard
2. Quan sát card 'Số kịch bản hoàn thành'.</t>
  </si>
  <si>
    <t>Giá trị số hiển thị đúng và không bị cắt chữ.</t>
  </si>
  <si>
    <t>DB-035</t>
  </si>
  <si>
    <t>Kiểm tra không tính kịch bản ngoài khoảng thời gian trong ngày hiện tại</t>
  </si>
  <si>
    <t>1. Mở Dashboard
2. Lấy danh sách kịch bản từ hệ thống
3. Xác định các kịch bản có thời gian nằm ngoài khoảng 00:00:00 – 23:59:59 của ngày hiện tại
4. So sánh với giá trị hiển thị trên card “Số kịch bản hoàn thành”</t>
  </si>
  <si>
    <t>Chỉ tính các kịch bản thuộc ngày hiện tại
Không bao gồm kịch bản của ngày trước hoặc ngày sau
Giá trị hiển thị chính xác theo dữ liệu lọc</t>
  </si>
  <si>
    <t>DB-036</t>
  </si>
  <si>
    <t>Kiểm tra tổng số sự kiện được tính đúng trong ngày</t>
  </si>
  <si>
    <t>1.Mở Dashboard
2. Quan sát card ' Tổng số Sự kiện'.</t>
  </si>
  <si>
    <t>Giá trị hiển thị đúng định dạng x/y theo dữ liệu nguồn.</t>
  </si>
  <si>
    <t>DB-037</t>
  </si>
  <si>
    <t>Kiểm tra hệ thống tính đủ tất cả các loại sự kiện bao gồm thông báo, cảnh báo và khẩn cấp trong ngày</t>
  </si>
  <si>
    <t>1. Mở Dashboard
2. Lấy dữ liệu sự kiện từ hệ thống
3. Phân loại theo từng loại: thông báo, cảnh báo, khẩn cấp
4. Tính tổng thủ công tất cả sự kiện
5. So sánh với card “Tổng số sự kiện”</t>
  </si>
  <si>
    <t>Tổng số sự kiện = tổng của tất cả các loại trong ngày
Không bị thiếu hoặc dư loại sự kiện
Giá trị hiển thị chính xác</t>
  </si>
  <si>
    <t>DB-038</t>
  </si>
  <si>
    <t>Kiểm tra phần trăm thay đổi được tính dựa trên cùng thời điểm của thời gian trước đó</t>
  </si>
  <si>
    <t>1. Mở Dashboard
2. Lấy dữ liệu hiện tại và dữ liệu kỳ trước
3. Tính thủ công % thay đổi = (hiện tại - trước. / trước
4. So sánh với giá trị hiển thị</t>
  </si>
  <si>
    <t>% thay đổi được tính đúng theo công thức
So sánh đúng cùng mốc thời gian (không lệch giờ/ngày.
Hiển thị đúng đơn vị %</t>
  </si>
  <si>
    <t>DB-039</t>
  </si>
  <si>
    <t>Kiểm tra icon mũi tên hiển thị đúng hướng tăng hoặc giảm</t>
  </si>
  <si>
    <t>1. Mở Dashboard
2. Quan sát icon tại các card KPI</t>
  </si>
  <si>
    <t>Giá trị tăng → mũi tên hướng lên
Giá trị giảm → mũi tên hướng xuống
Không hiển thị sai hướng</t>
  </si>
  <si>
    <t>DB-040</t>
  </si>
  <si>
    <t>Kiểm tra màu sắc của chỉ số thay đổi phụ thuộc vào giá trị có lợi hoặc bất lợi cho vận hành</t>
  </si>
  <si>
    <t>1. Mở Dashboard
2. Quan sát màu của các chỉ số thay đổi</t>
  </si>
  <si>
    <t>Giá trị có lợi → màu xanh (hoặc màu quy định.
Giá trị bất lợi → màu đỏ (hoặc màu quy định.
Không bị ngược logic màu</t>
  </si>
  <si>
    <t>DASH-3D-001</t>
  </si>
  <si>
    <t>Kiểm tra hiển thị và tương tác mô hình 3D của trụ</t>
  </si>
  <si>
    <t>DB-041</t>
  </si>
  <si>
    <t>Hiển thị loading spinner và phần trăm khi mô hình đang tải</t>
  </si>
  <si>
    <t>Dashboard đã tải xong; service mô hình 3D hoạt động.</t>
  </si>
  <si>
    <t>1. Tải lại trang khi mô hình chưa load xong.</t>
  </si>
  <si>
    <t>Hiển thị spinner và tiến độ (%.; text loading rõ ràng.</t>
  </si>
  <si>
    <t>DB-042</t>
  </si>
  <si>
    <t>Tiến độ loading thay đổi theo thời gian</t>
  </si>
  <si>
    <t>1. Quan sát tiến độ khi đang tải.</t>
  </si>
  <si>
    <t>Phần trăm tăng dần hợp lý; không đứng yên vô hạn khi dữ liệu vẫn tải.</t>
  </si>
  <si>
    <t>DB-043</t>
  </si>
  <si>
    <t>Hiển thị mô hình 3D thành công sau khi tải xong</t>
  </si>
  <si>
    <t>1. Chờ mô hình tải hoàn tất.</t>
  </si>
  <si>
    <t>Mô hình/khung 3D hiển thị đúng; không còn spinner.</t>
  </si>
  <si>
    <t>DB-044</t>
  </si>
  <si>
    <t>Xử lý lỗi khi mô hình 3D tải thất bại hoặc timeout</t>
  </si>
  <si>
    <t>Dashboard đã tải xong; service mô hình 3D bị lỗi hoặc timeout.</t>
  </si>
  <si>
    <t>1. Mock service 3D timeout/lỗi.
2. Mở Dashboard.</t>
  </si>
  <si>
    <t>Hiển thị placeholder/message lỗi phù hợp; trang không crash.</t>
  </si>
  <si>
    <t>DB-045</t>
  </si>
  <si>
    <t>Kiểm tra hiển thị thông tin cơ bản trong màn hình Giám sát tổng quan của trụ</t>
  </si>
  <si>
    <t>Người dùng đã đăng nhập hệ thống
Người dùng có quyền truy cập màn hình Giám sát</t>
  </si>
  <si>
    <t>1. Truy cập vào màn hình Giám sát tổng quan
2. Chọn 1 trụ bất kỳ từ danh sách
3. Quan sát khu vực hiển thị thông tin chi tiết của trụ</t>
  </si>
  <si>
    <t>Hiển thị đúng mã số định danh (Pole ID. của trụ
Hiển thị đúng phiên bản phần mềm/firmware hiện tại
Hiển thị thời gian thực tế (đồng bộ với hệ thống hoặc thiết bị.
Hiển thị vị trí hiện tại (tọa độ hoặc địa chỉ nếu có mapping.</t>
  </si>
  <si>
    <t>DB-046</t>
  </si>
  <si>
    <t>Kiểm tra hiển thị bản sao số trụ và trạng thái thiết bị</t>
  </si>
  <si>
    <t>Người dùng đã đăng nhập
Có trụ đã được cấu hình bản sao số (3D model.
Có dữ liệu trạng thái thiết bị (ON/OFF/Lỗi.
Có media đang được nhúng vào trụ</t>
  </si>
  <si>
    <t>1. Quan sát mô hình 3D của trụ
2. Kiểm tra các ký hiệu trạng thái thiết bị trên mô hình
3. Kiểm tra đèn LED khi bật/tắt
4. Kiểm tra nội dung media hiển thị trên mô hình</t>
  </si>
  <si>
    <t xml:space="preserve">Hiển thị đúng bản sao số (3D. của trụ, không bị lỗi render
Các thiết bị trên mô hình có ký hiệu cảnh báo khi bị lỗi (màu sắc/icon rõ ràng.
Trạng thái thiết bị được cập nhật đúng (ON/OFF/Lỗi.
Đèn LED có hiệu ứng ánh sáng khi bật, tắt thì không hiển thị hiệu ứng
 Media (video/hình ảnh. được hiển thị đúng vị trí trên mô hình 3D
</t>
  </si>
  <si>
    <t>DB-047</t>
  </si>
  <si>
    <t>Kiểm tra tương tác với thiết bị trên bản sao số trụ</t>
  </si>
  <si>
    <t>Người dùng đã đăng nhập
Mô hình 3D hiển thị đầy đủ thiết bị
 Các module chi tiết đã tồn tại</t>
  </si>
  <si>
    <t>1. Truy cập màn hình Giám sát → chọn trụ
2. Click vào từng thiết bị trên mô hình 3D
3. Quan sát hành vi điều hướng
4. Click vào icon loa trên mô hình</t>
  </si>
  <si>
    <t>Khi click vào từng thiết bị → điều hướng đúng đến trang chi tiết module tương ứng
Không điều hướng sai module hoặc lỗi 404
Loa không tự phát âm thanh khi load trang (mặc định tắt.
Khi click vào icon loa → phát âm thanh đúng
Có thể tương tác mượt, không bị lag hoặc không click được</t>
  </si>
  <si>
    <t>DB-048</t>
  </si>
  <si>
    <t>Kiểm tra hiển thị thông tin Kết nối và hạ tầng</t>
  </si>
  <si>
    <t xml:space="preserve">1. Truy cập màn hình Giám sát
2. Quan sát Bản sao số trụ &gt; Nhìn vào card kết nối và hạ tầng </t>
  </si>
  <si>
    <t>Hiển thị đầy đủ:
+ Trạng thái trụ
+ Số thiết bị hoạt động
+ Kịch bản hôm nay
+ Uptime
+ Số thiết bị wifi
+ Băng thông</t>
  </si>
  <si>
    <t>DB-049</t>
  </si>
  <si>
    <t>Kiểm tra hiển thị thời gian cập nhật</t>
  </si>
  <si>
    <t>1. Mở màn hình trụ ở trạng thái bình thường
2. Kiểm tra UI
3. Chuyển trụ sang trạng thái lỗi</t>
  </si>
  <si>
    <t xml:space="preserve"> Trạng thái bình thường → KHÔNG hiển thị thời gian
 Trạng thái lỗi → hiển thị thời gian cập nhật</t>
  </si>
  <si>
    <t>DB-050</t>
  </si>
  <si>
    <t>Kiểm tra format số thiết bị hoạt động</t>
  </si>
  <si>
    <t xml:space="preserve"> Hiển thị dạng “7/8”
 Không sai format</t>
  </si>
  <si>
    <t>DB-051</t>
  </si>
  <si>
    <t>Kiểm tra click mở danh sách thiết bị</t>
  </si>
  <si>
    <t>1. Truy cập màn hình Giám sát → chọn trụ
2. Quan sát mục “Số thiết bị đang hoạt động”
3. Click vào text hoặc số (VD: 7/8.
4. Quan sát popup hiển thị</t>
  </si>
  <si>
    <t xml:space="preserve"> Step 2: Hiển thị đúng format (X/Y.
Step 3: Click có phản hồi (cursor/hover rõ ràng.
Step 4: Popup hiển thị danh sách thiết bị
Không bị lệch UI / không bị che nội dung</t>
  </si>
  <si>
    <t>DB-052</t>
  </si>
  <si>
    <t>Kiểm tra hiển thị danh sách thiết bị</t>
  </si>
  <si>
    <t>1. Mở popup danh sách thiết bị
2. Quan sát toàn bộ danh sách</t>
  </si>
  <si>
    <t>Hiển thị các cột: STT, Tên thiết bị, Trạng thái
STT tăng dần, không trùng
Trạng thái hiển thị đúng (Hoạt động / Cảnh báo/ Lỗi / Mất kết nối.
Không bị thiếu thiết bị</t>
  </si>
  <si>
    <t>DB-053</t>
  </si>
  <si>
    <t>Kiểm tra tự động refresh danh sách</t>
  </si>
  <si>
    <t>1. Mở popup thiết bị
2. Giữ màn hình trong 5–10s
3. Thay đổi trạng thái 1 thiết bị từ backend
4. Quan sát UI</t>
  </si>
  <si>
    <t>UI tự refresh mỗi ~2s
Trạng thái cập nhật đúng mà không cần reload
Không bị flicker (giật UI.
Không bị reset scroll</t>
  </si>
  <si>
    <t>DB-054</t>
  </si>
  <si>
    <t>Kiểm tra icon xem chi tiết</t>
  </si>
  <si>
    <t>1. Mở popup thiết bị
2. Hover vào icon mắt 👁
3. Quan sát tooltip
4. Click icon</t>
  </si>
  <si>
    <t xml:space="preserve"> Step 2: Icon highlight rõ
Step 3: Tooltip hiển thị “Xem chi tiết” đúng vị trí, không bị che
 Step 4: Điều hướng đúng trang chi tiết thiết bị
URL đúng, không lỗi 404</t>
  </si>
  <si>
    <t>DB-055</t>
  </si>
  <si>
    <t>Kiểm tra chức năng reboot thiết bị</t>
  </si>
  <si>
    <t>1. Mở popup thiết bị
2. Hover icon reboot 🔄
3. Quan sát tooltip
4. Click icon</t>
  </si>
  <si>
    <t xml:space="preserve"> Tooltip: “Khởi động lại”
Click → mở modal xác nhận
Modal Hiển thị đúng tên thiết bị
</t>
  </si>
  <si>
    <t>DB-056</t>
  </si>
  <si>
    <t>Kiểm tra hiệu năng và khả năng phản hồi của giao diện danh sách thiết bị</t>
  </si>
  <si>
    <t>1. Click mở popup danh sách thiết bị
2. Thực hiện scroll lên/xuống nhiều lần
3. Click liên tục vào các icon (chi tiết, reboot.
4. Quan sát phản hồi UI</t>
  </si>
  <si>
    <t>Popup mở trong &lt; 2s
 Scroll mượt, không bị giật
Click phản hồi ngay (≤ 300ms.
Không bị treo UI hoặc crash</t>
  </si>
  <si>
    <t>Performance</t>
  </si>
  <si>
    <t>DB-057</t>
  </si>
  <si>
    <t>Kiểm tra hiển thị dữ liệu môi trường và giao thông theo thời gian thực</t>
  </si>
  <si>
    <t>1. Truy cập màn hình chi tiết trụ
2. Quan sát widget “Môi trường và giao thông”</t>
  </si>
  <si>
    <t>Hiển thị đầy đủ:
+ AQI, PM2.5, nhiệt độ, độ ẩm, mức nước, tốc độ gió
+ Lưu lượng xe, tốc độ trung bình
Giá trị hiển thị đúng format (°C, %, km/h….
Dữ liệu cập nhật realtime (không cần reload.</t>
  </si>
  <si>
    <t>DB-058</t>
  </si>
  <si>
    <t>Kiểm tra hiển thị cảnh báo khi thông số môi trường vượt ngưỡng</t>
  </si>
  <si>
    <t>Người dùng đã đăng nhập hệ thống
Người dùng có quyền truy cập màn hình Giám sát
Có cấu hình ngưỡng trên/dưới</t>
  </si>
  <si>
    <t>1. Thiết lập giá trị AQI/PM2.5 vượt ngưỡng
2. Truy cập màn hình</t>
  </si>
  <si>
    <t>Thông số vượt ngưỡng hiển thị màu đỏ
Có ký hiệu cảnh báo (nếu có design.
Các thông số bình thường không bị ảnh hưởng</t>
  </si>
  <si>
    <t>DB-059</t>
  </si>
  <si>
    <t>Kiểm tra tooltip hiển thị ngưỡng trên và dưới của thông số</t>
  </si>
  <si>
    <t>1. Hover vào thông số đang hiển thị màu đỏ
2. Quan sát tooltip</t>
  </si>
  <si>
    <t xml:space="preserve"> Tooltip hiển thị:
+ Ngưỡng trên
+ Ngưỡng dưới
Nội dung đúng với cấu hình hệ thống
Tooltip hiển thị đúng vị trí, không bị che</t>
  </si>
  <si>
    <t>DASH-EVENT-001</t>
  </si>
  <si>
    <t>Kiểm tra Bảng Sự kiện</t>
  </si>
  <si>
    <t>DB-060</t>
  </si>
  <si>
    <t>Kiểm tra hiển thị danh sách sự kiện mới nhất</t>
  </si>
  <si>
    <t>Dashboard đã tải xong; có dữ liệu trong bảng.</t>
  </si>
  <si>
    <t>1. Mở Dashboard.
2. Quan sát Bảng Sự kiện.</t>
  </si>
  <si>
    <t xml:space="preserve">
Danh sách sự kiện được hiển thị theo thứ tự giảm dần của thời điểm ghi nhận (mới nhất ở trên cùng.. Không bị lặp dữ liệu</t>
  </si>
  <si>
    <t>Chưa có sự kiện, chỉ mới có UI</t>
  </si>
  <si>
    <t>DB-061</t>
  </si>
  <si>
    <t>Kiểm tra hiển thị đầy đủ các cột</t>
  </si>
  <si>
    <t>Tất cả các cột bao gồm STT, Thời điểm ghi nhận, Tên sự kiện, Thiết bị, Mức độ được hiển thị đầy đủ</t>
  </si>
  <si>
    <t>DB-062</t>
  </si>
  <si>
    <t>Kiểm tra format dữ liệu</t>
  </si>
  <si>
    <t>STT hiển thị đúng thứ tự liên tục
Thời gian đúng định dạng (dd/MM/yyyy HH:mm:ss .
Dữ liệu text không bị tràn, không chồng lấn UI. Không xuất hiện ký tự lỗi</t>
  </si>
  <si>
    <t>DB-063</t>
  </si>
  <si>
    <t>Kiểm tra hiển thị thiết bị</t>
  </si>
  <si>
    <t>Với event có ≤3 thiết bị: hiển thị đầy đủ tên thiết bị
Với event có &gt;3 thiết bị: hiển thị “Đa thiết bị”
Không bị cắt chữ sai hoặc hiển thị thiếu</t>
  </si>
  <si>
    <t>DB-064</t>
  </si>
  <si>
    <t>Kiểm tra hiển thị mức độ &amp; màu sắc</t>
  </si>
  <si>
    <t>Thông báo hiển thị label màu xanh lá
Cảnh báo hiển thị màu vàng
Khẩn cấp hiển thị màu đỏ
Màu sắc hiển thị đồng nhất, không sai lệch giữa các dòng</t>
  </si>
  <si>
    <t>DB-065</t>
  </si>
  <si>
    <t>Kiểm tra click vào 1 sự kiện</t>
  </si>
  <si>
    <t>1. Mở Dashboard.
2. Quan sát Bảng Sự kiện.
3. Click 1 row bất kỳ</t>
  </si>
  <si>
    <t>Khi click vào một dòng, hệ thống phản hồi ngay (không delay bất thường., mở trang/popup chi tiết sự kiện tương ứng. Không bị click nhầm sang dòng khác</t>
  </si>
  <si>
    <t>DB-066</t>
  </si>
  <si>
    <t>Kiểm tra dữ liệu chi tiết sự kiện</t>
  </si>
  <si>
    <t>Thông tin chi tiết (thời gian, tên sự kiện, thiết bị, mức độ…. trùng khớp với dữ liệu hiển thị tại danh sách. Không bị sai lệch hoặc thiếu dữ liệu</t>
  </si>
  <si>
    <t>DB-067</t>
  </si>
  <si>
    <t>Kiểm tra tìm kiếm theo tên sự kiện</t>
  </si>
  <si>
    <t>1. Mở Dashboard.
2. Quan sát Bảng Sự kiện.
3. Nhập keyword vào ô tìm kiếm</t>
  </si>
  <si>
    <t>Danh sách được lọc chính xác theo từ khóa nhập vào. Hỗ trợ tìm kiếm gần đúng (partial match., không phân biệt hoa/thường (nếu có yêu cầu.. Không trả về dữ liệu sai</t>
  </si>
  <si>
    <t>DB-068</t>
  </si>
  <si>
    <t>Kiểm tra kết hợp tìm kiếm + filter</t>
  </si>
  <si>
    <t>1. Mở Dashboard.
2. Quan sát Bảng Sự kiện.
3.  Chọn ngày/thiết bị
4. Nhập keyword</t>
  </si>
  <si>
    <t>Kết quả trả về phải thỏa mãn đồng thời cả điều kiện filter và search. Không xuất hiện dữ liệu ngoài điều kiện</t>
  </si>
  <si>
    <t>DB-069</t>
  </si>
  <si>
    <t>Kiểm tra filter (ngày + thiết bị.</t>
  </si>
  <si>
    <t>1. Mở Dashboard.
2. Quan sát Bảng Sự kiện.
3.  Chọn khoảng ngày
4. Chọn thiết bị</t>
  </si>
  <si>
    <t>Danh sách chỉ hiển thị các sự kiện thuộc khoảng thời gian và thiết bị đã chọn. Không bị lẫn dữ liệu ngoài khoảng</t>
  </si>
  <si>
    <t>DB-070</t>
  </si>
  <si>
    <t>Không có kết quả sau khi tìm kiếm/lọc sự kiện</t>
  </si>
  <si>
    <t>Hiển thị trạng thái không có dữ liệu phù hợp.</t>
  </si>
  <si>
    <t>DASH-SCENARIO-001</t>
  </si>
  <si>
    <t>Kiểm tra bảng Kịch bản thông minh</t>
  </si>
  <si>
    <t>DB-071</t>
  </si>
  <si>
    <t>Kiểm tra hiển thị số thứ tự (#. của danh sách kịch bản</t>
  </si>
  <si>
    <t>Dashboard đã tải xong; có ít nhất 3 kịch bản như trên UI mẫu.</t>
  </si>
  <si>
    <t>1. Truy cập màn hình Dashboard
2. Mở danh sách Kịch bản thông minh tại trụ
3. Quan sát cột “#” của từng dòng
4. So sánh thứ tự giữa các dòng</t>
  </si>
  <si>
    <t>Hiển thị dạng 1,2,3,... theo thứ tự từ trên xuống
Không bị trùng số
Không bị thiếu số khi có nhiều dòng</t>
  </si>
  <si>
    <t>DB-072</t>
  </si>
  <si>
    <t>Kiểm tra hiển thị tên kịch bản trong danh sách</t>
  </si>
  <si>
    <t>1. Truy cập Dashboard
2. Mở danh sách kịch bản
3. Quan sát cột “Tên kịch bản”
4. Kiểm tra hiển thị với tên ngắn và tên dài</t>
  </si>
  <si>
    <t>Hiển thị đúng tên từ backend
Tên dài được wrap hoặc ellipsis đúng design
Không đè sang cột khác</t>
  </si>
  <si>
    <t>DB-073</t>
  </si>
  <si>
    <t>Kiểm tra hiển thị trạng thái kịch bản</t>
  </si>
  <si>
    <t>1. Truy cập Dashboard
2. Quan sát cột “Trạng thái”
3. Đối chiếu với dữ liệu backend</t>
  </si>
  <si>
    <t>Badge màu và text đúng theo từng trạng thái:
+ Scheduled: Cam
+ Running: Xanh dương
+ Success: Xanh lá 
+ Failded: Đỏ
+ Stopped : Xám =&gt;  không hiển thị sai mapping.</t>
  </si>
  <si>
    <t>DB-074</t>
  </si>
  <si>
    <t>Kiểm tra hiển thị điều kiện kích hoạt</t>
  </si>
  <si>
    <t>1. Mở danh sách kịch bản
2. Quan sát cột “Điều kiện kích hoạt”</t>
  </si>
  <si>
    <t>Hiển thị đúng: Time schedule / Manual / Event
Không hiển thị sai giá trị</t>
  </si>
  <si>
    <t>DB-075</t>
  </si>
  <si>
    <t>Kiểm tra hiển thị thời gian bắt đầu kịch bản</t>
  </si>
  <si>
    <t>1. Mở danh sách
2. Quan sát cột thời gian</t>
  </si>
  <si>
    <t>Format đúng dd/MM/yyyy HH:mm
Đúng dữ liệu backend</t>
  </si>
  <si>
    <t>DB-076</t>
  </si>
  <si>
    <t>Kiểm tra cột Hành động hiển thị đủ Pause/Log trên từng dòng</t>
  </si>
  <si>
    <t>1. Mở danh sách
2. Quan sát cột Hành động của từng dòng.</t>
  </si>
  <si>
    <t>Mỗi dòng hiển thị đủ action Pause/Log theo thiết kế; khoảng cách/căn lề đúng.</t>
  </si>
  <si>
    <t>DB-077</t>
  </si>
  <si>
    <t>Tìm kiếm theo tên kịch bản trả về đúng 1 dòng khớp</t>
  </si>
  <si>
    <t>1. Nhập 'Night_Mode_AutoLight' vào ô tìm kiếm.
2. Quan sát bảng.</t>
  </si>
  <si>
    <t>Bảng chỉ hiển thị đúng dòng phù hợp với từ khóa tìm kiếm.</t>
  </si>
  <si>
    <t>DB-078</t>
  </si>
  <si>
    <t>Tìm kiếm không phân biệt hoa thường/khoảng trắng đầu cuối</t>
  </si>
  <si>
    <t>1. Nhập '  off_peak_energy_saving  ' hoặc khác hoa thường.
2. Quan sát kết quả.</t>
  </si>
  <si>
    <t>Kết quả tìm kiếm vẫn đúng theo spec; hệ thống xử lý trim/case hợp lý.</t>
  </si>
  <si>
    <t>DB-079</t>
  </si>
  <si>
    <t>Dropdown lọc trạng thái chỉ trả về các kịch bản đúng trạng thái</t>
  </si>
  <si>
    <t>1. Chọn từng trạng thái trong dropdown.
2. Quan sát số dòng hiển thị.</t>
  </si>
  <si>
    <t>Bảng lọc đúng dữ liệu theo trạng thái chọn; bỏ lọc thì trả về đầy đủ dữ liệu.</t>
  </si>
  <si>
    <t>DB-080</t>
  </si>
  <si>
    <t>Kết hợp tìm kiếm + lọc trạng thái</t>
  </si>
  <si>
    <t>1. Nhập từ khóa.
2. Chọn trạng thái.
3. Quan sát bảng.</t>
  </si>
  <si>
    <t>Kết quả là giao của 2 điều kiện; không hiển thị sai dữ liệu.</t>
  </si>
  <si>
    <t>DB-081</t>
  </si>
  <si>
    <t>Nhấn Pause tại dòng đang chạy</t>
  </si>
  <si>
    <t>1. Click Pause ở dòng có trạng thái 'Đang chạy'.
2. Xác nhận nếu có.</t>
  </si>
  <si>
    <t>Hệ thống xử lý tạm dừng thành công; trạng thái cập nhật đúng hoặc hiển thị thông báo thành công.</t>
  </si>
  <si>
    <t>DB-082</t>
  </si>
  <si>
    <t>Nhấn Pause tại dòng không cho phép pause</t>
  </si>
  <si>
    <t>1. Chọn dòng ở trạng thái không cho phép pause.
2. Click Pause.</t>
  </si>
  <si>
    <t>Nút bị disable hoặc hiển thị thông báo không thể thao tác theo spec.</t>
  </si>
  <si>
    <t>DB-083</t>
  </si>
  <si>
    <t>Nhấn Log mở đúng log của từng kịch bản</t>
  </si>
  <si>
    <t>1. Click Log ở từng dòng.
2. Đối chiếu tên kịch bản trong popup/trang log.</t>
  </si>
  <si>
    <t>Log mở đúng theo dòng được chọn; không bị lệch dữ liệu giữa các dòng.</t>
  </si>
  <si>
    <t>DB-084</t>
  </si>
  <si>
    <t>User không có quyền không được phép Pause</t>
  </si>
  <si>
    <t>Người dùng đã đăng nhập nhưng không có quyền thao tác dừng/xem log kịch bản.</t>
  </si>
  <si>
    <t>1. Đăng nhập bằng user không có quyền.
2. Quan sát cột Hành động.
3. Thử click Pause.</t>
  </si>
  <si>
    <t>Pause bị ẩn/disable hoặc API trả 403; không thay đổi trạng thái kịch bản.</t>
  </si>
  <si>
    <t>DB-085</t>
  </si>
  <si>
    <t>Bảng hiển thị đúng khi không có dữ liệu kịch bản</t>
  </si>
  <si>
    <t>Dashboard đã tải xong; hệ thống không có dữ liệu cho khu vực cần kiểm tra.</t>
  </si>
  <si>
    <t>1. Mở Dashboard khi không có dữ liệu kịch bản.</t>
  </si>
  <si>
    <t>Bảng hiển thị trạng thái empty phù hợp; không lỗi layout hoặc cột.</t>
  </si>
  <si>
    <t>DB-086</t>
  </si>
  <si>
    <t>Dữ liệu nhiều dòng vẫn giữ đúng layout bảng</t>
  </si>
  <si>
    <t>1. Seed &gt; 20 kịch bản.
2. Mở Dashboard.</t>
  </si>
  <si>
    <t>Bảng vẫn hiển thị đúng, không vỡ layout; scroll/pagination hoạt động theo spec nếu có.</t>
  </si>
  <si>
    <t>DASH-NONFUNC-001</t>
  </si>
  <si>
    <t>Kiểm tra phi chức năng / tổng thể</t>
  </si>
  <si>
    <t>DB-087</t>
  </si>
  <si>
    <t>Responsive tổng thể ở 1366x768</t>
  </si>
  <si>
    <t>1. Mở Dashboard ở 1366x768.
2. Scroll toàn trang.</t>
  </si>
  <si>
    <t>Layout không vỡ; nội dung vẫn đọc được; không chồng lấn bất thường.</t>
  </si>
  <si>
    <t>DB-088</t>
  </si>
  <si>
    <t>Responsive tổng thể ở 1920x1080</t>
  </si>
  <si>
    <t>1. Mở Dashboard ở 1920x1080.</t>
  </si>
  <si>
    <t>Khoảng cách, card và bảng hiển thị cân đối.</t>
  </si>
  <si>
    <t>DB-089</t>
  </si>
  <si>
    <t>Cross-browser smoke trên Chrome và Edge</t>
  </si>
  <si>
    <t>1. Mở Dashboard trên Chrome.
2. Mở trên Edge.</t>
  </si>
  <si>
    <t>Các thành phần chính hiển thị và hoạt động tương đương.</t>
  </si>
  <si>
    <t>Compatibility</t>
  </si>
  <si>
    <t>DB-090</t>
  </si>
  <si>
    <t>Hiệu năng tải trang dashboard</t>
  </si>
  <si>
    <t>1. Mở Dashboard từ login hoặc refresh cứng.</t>
  </si>
  <si>
    <t>Trang tải trong thời gian chấp nhận được theo tiêu chí dự án; không đơ trình duyệt.</t>
  </si>
  <si>
    <t>DB-091</t>
  </si>
  <si>
    <t>Keyboard focus cho các control chính</t>
  </si>
  <si>
    <t>1. Dùng phím Tab di chuyển qua header, dropdown, action icon.</t>
  </si>
  <si>
    <t>Focus hiển thị rõ; có thể thao tác bằng keyboard với control chính.</t>
  </si>
  <si>
    <t>Accessibility</t>
  </si>
  <si>
    <t>Tên module (Module's Name):</t>
  </si>
  <si>
    <t>Surveillance</t>
  </si>
  <si>
    <t>Tài liệu (Reference Document):</t>
  </si>
  <si>
    <t>26/03/2026</t>
  </si>
  <si>
    <t>Nguyễn Thị Minh Tâm</t>
  </si>
  <si>
    <t xml:space="preserve">Cập nhật theo UI mới </t>
  </si>
  <si>
    <t>Thiết kế (Design):</t>
  </si>
  <si>
    <t>22/05/2026</t>
  </si>
  <si>
    <t>Cập nhật TC của bảng Event</t>
  </si>
  <si>
    <t>Người tạo (Author):</t>
  </si>
  <si>
    <t>Cập nhật TC theo phân tích https://aistudio.google.com/apps/afdcb7e3-a516-45a8-9e8e-cdac44ab211f?showPreview=true&amp;showAssistant=true</t>
  </si>
  <si>
    <t>Ngày tạo (Creation Date):</t>
  </si>
  <si>
    <t>Người review (Reviewer):</t>
  </si>
  <si>
    <t>Phiên bản (Version):</t>
  </si>
  <si>
    <t>Kết quả (Results):</t>
  </si>
  <si>
    <t>Tổng số case (Total cases)</t>
  </si>
  <si>
    <t>Mã kịch bản
(Scenario ID)</t>
  </si>
  <si>
    <t>Tên kịch bản kiểm thử
(Test Scenario Title)</t>
  </si>
  <si>
    <t>Mã kiểm thử
(Test case ID)</t>
  </si>
  <si>
    <t>Kịch bản chi tiết
(Test Case Description)</t>
  </si>
  <si>
    <t>Điều kiện tiên quyết
(Pre-Conditions)</t>
  </si>
  <si>
    <t>Các bước kiểm thử
(Test steps)</t>
  </si>
  <si>
    <t>Kết quả mong đợi
(Expected Results)</t>
  </si>
  <si>
    <t>Kết quả thực tế 
(Actual Results)</t>
  </si>
  <si>
    <t>Tình trạng 
(Status)</t>
  </si>
  <si>
    <t>Chú thích 
(Notes)</t>
  </si>
  <si>
    <t>SURV-NAV-001</t>
  </si>
  <si>
    <t>Điều hướng &amp; tổng quan giao diện</t>
  </si>
  <si>
    <t>SV-001</t>
  </si>
  <si>
    <t>Mở module Surveillance từ sidebar</t>
  </si>
  <si>
    <t>User đã truy cập được hệ thống Smart Pole Control</t>
  </si>
  <si>
    <t>1. Click menu "Surveillance" ở sidebar trái.
2. Quan sát trang tải.</t>
  </si>
  <si>
    <t>Trang Surveillance hiển thị đúng URL /surveillance.
Menu "Surveillance" được highlight (nền xanh) trên sidebar.
Không có lỗi JavaScript nghiêm trọng.</t>
  </si>
  <si>
    <t>Trang tải đúng, menu Surveillance highlight, tiêu đề trang đúng. Đã kiểm thử thực tế trên môi trường live (100.112.252.45:3000/surveillance).</t>
  </si>
  <si>
    <t>Tâm</t>
  </si>
  <si>
    <t>SV-002</t>
  </si>
  <si>
    <t>Banner "Surveillance Control" &amp; badge trạng thái hệ thống</t>
  </si>
  <si>
    <t>Đã vào trang Surveillance</t>
  </si>
  <si>
    <t>1. Quan sát banner xanh đầu trang.
2. Quan sát badge trạng thái góc phải banner và badge "System Online" trên header chung.</t>
  </si>
  <si>
    <t>Banner "Surveillance Control" hiển thị đúng, màu xanh dương.
Badge trạng thái camera tổng (Online/Offline) hiển thị đúng màu &amp; icon.</t>
  </si>
  <si>
    <t>Banner hiển thị đúng "Surveillance Control". Badge trạng thái hiển thị "Offline" (do chưa có/camera mất kết nối), icon camera kèm theo. Header chung hiển thị "System Online" (chấm xanh).</t>
  </si>
  <si>
    <t>SV-003</t>
  </si>
  <si>
    <t>Bố cục 3 khu vực chính của trang</t>
  </si>
  <si>
    <t>1. Quan sát toàn bộ trang.</t>
  </si>
  <si>
    <t>Trang chia rõ 3 khu vực: (1) Khung xem trực tiếp (Live preview) phía trên, (2) "Device List &amp; Configuration" phía dưới-trái, (3) "List Events" phía dưới-phải. Không vỡ layout ở độ phân giải desktop 1440px.</t>
  </si>
  <si>
    <t>Bố cục đúng 3 khu vực như mô tả, không vỡ layout ở 1440px.</t>
  </si>
  <si>
    <t>SURV-EMPTY-001</t>
  </si>
  <si>
    <t>Trạng thái rỗng khi chưa có camera</t>
  </si>
  <si>
    <t>SV-004</t>
  </si>
  <si>
    <t>Hiển thị thông báo "No cameras configured"</t>
  </si>
  <si>
    <t>Hệ thống chưa cấu hình camera nào</t>
  </si>
  <si>
    <t>1. Mở trang Surveillance khi danh sách camera rỗng.
2. Quan sát khung Live preview và khung Device List &amp; Configuration.</t>
  </si>
  <si>
    <t>Cả 2 khung đều hiển thị icon camera mờ, text "No cameras configured" và dòng phụ "Add a camera and configure its RTSP stream to show it in the dynamic preview layout."</t>
  </si>
  <si>
    <t>Xác nhận qua Playwright: đếm được đúng 2 vị trí hiển thị text "No cameras configured" (khung preview + khung Device List).</t>
  </si>
  <si>
    <t>SV-005</t>
  </si>
  <si>
    <t>Nút "Add camera" xuất hiện ở nhiều vị trí khi rỗng</t>
  </si>
  <si>
    <t>1. Quan sát khung Live preview trống.
2. Quan sát header khu vực Device List &amp; Configuration.</t>
  </si>
  <si>
    <t>Cả 2 vị trí đều có nút "+ Add camera" (nút to giữa khung preview trống, nút nhỏ góc phải header Device List).</t>
  </si>
  <si>
    <t>Cả 2 nút đều hiện diện và đều mở đúng modal Add camera khi click.</t>
  </si>
  <si>
    <t>SURV-ADD-001</t>
  </si>
  <si>
    <t>Mở &amp; cấu trúc modal "Add camera"</t>
  </si>
  <si>
    <t>SV-006</t>
  </si>
  <si>
    <t>Click "Add camera" mở đúng modal</t>
  </si>
  <si>
    <t>1. Click bất kỳ nút "Add camera" nào.
2. Quan sát modal xuất hiện.</t>
  </si>
  <si>
    <t>Modal mở với overlay nền tối, tiêu đề "Add camera" (nền xanh dương), có icon đóng (X) góc phải tiêu đề.</t>
  </si>
  <si>
    <t>Modal mở đúng như mong đợi, tiêu đề "Add camera", có icon X.</t>
  </si>
  <si>
    <t>SV-007</t>
  </si>
  <si>
    <t>Modal có đủ 3 section theo đúng thứ tự</t>
  </si>
  <si>
    <t>Modal Add camera đang mở</t>
  </si>
  <si>
    <t>1. Cuộn qua toàn bộ modal.
2. Đối chiếu tiêu đề từng section.</t>
  </si>
  <si>
    <t>Có đủ 3 section theo thứ tự: "1. Identification Information", "2. Network &amp; Protocol Settings", "3. AI Feature Configuration", cộng thêm field RTSP Stream URL và khối Connectivity &amp; Image Test.</t>
  </si>
  <si>
    <t>Xác nhận qua Playwright: 3 section xuất hiện đúng thứ tự và đúng tiêu đề.</t>
  </si>
  <si>
    <t>SV-008</t>
  </si>
  <si>
    <t>Section 1 - Identification Information</t>
  </si>
  <si>
    <t>1. Quan sát section 1.</t>
  </si>
  <si>
    <t>Có field "Camera Name *" (text, bắt buộc) và dropdown "Type" mặc định giá trị "Bullet", có thể đổi sang "PTZ".</t>
  </si>
  <si>
    <t>Đúng như mong đợi. Dropdown Type có 2 option: Bullet, PTZ (xác nhận qua screenshot 08b).</t>
  </si>
  <si>
    <t>SV-009</t>
  </si>
  <si>
    <t>Section 2 - Network &amp; Protocol Settings</t>
  </si>
  <si>
    <t>1. Quan sát section 2.</t>
  </si>
  <si>
    <t>Đủ 5 field bắt buộc (*): IP Address, Port, Username, Password (có icon con mắt ẩn/hiện), MAC Address (placeholder mẫu AA:BB:CC:DD:EE:FF).</t>
  </si>
  <si>
    <t>Đủ 5 field như mong đợi, icon ẩn/hiện password hoạt động (xác nhận qua screenshot).</t>
  </si>
  <si>
    <t>SV-010</t>
  </si>
  <si>
    <t>Field RTSP Stream URL &amp; khối Connectivity Test</t>
  </si>
  <si>
    <t>1. Cuộn xuống dưới section AI Feature Configuration.</t>
  </si>
  <si>
    <t>Có field "RTSP Stream URL *" (placeholder rtsp://user:pass@192.168.1.100:554/stream) và khối "Connectivity &amp; Image Test" gồm khung PREVIEW FEED, nút Check (xanh lá), nút Snapshot (xanh dương), dòng "● Status: Unknown".</t>
  </si>
  <si>
    <t>Đúng như mong đợi.</t>
  </si>
  <si>
    <t>SURV-ADD-002</t>
  </si>
  <si>
    <t>Validate trường bắt buộc khi Save</t>
  </si>
  <si>
    <t>SV-011</t>
  </si>
  <si>
    <t>Bấm Save khi form trống hoàn toàn</t>
  </si>
  <si>
    <t>Modal Add camera đang mở, chưa nhập gì</t>
  </si>
  <si>
    <t>1. Không nhập bất kỳ field nào.
2. Click "Save".</t>
  </si>
  <si>
    <t>Hệ thống chặn lưu, hiển thị thông báo "This field is required" tại các field bắt buộc (Camera Name, IP Address, Port, Username, Password, MAC Address/RTSP URL).</t>
  </si>
  <si>
    <t>Xác nhận qua Playwright: có 6 thông báo "This field is required" hiển thị đồng thời, Save bị chặn (modal không đóng).</t>
  </si>
  <si>
    <t>SV-012</t>
  </si>
  <si>
    <t>Bỏ trống riêng field Port, các field khác hợp lệ</t>
  </si>
  <si>
    <t>Đã nhập đủ field khác, Port để trống</t>
  </si>
  <si>
    <t>1. Xoá trắng riêng ô Port.
2. Click Save (hoặc Check).</t>
  </si>
  <si>
    <t>Hiển thị lỗi "This field is required" ngay dưới ô Port, không cho lưu/check.</t>
  </si>
  <si>
    <t>Xác nhận qua screenshot gốc (10-invalid-port.png): ô Port viền đỏ, text đỏ "This field is required" xuất hiện đúng vị trí.</t>
  </si>
  <si>
    <t>SURV-ADD-003</t>
  </si>
  <si>
    <t>Validate định dạng IP Address (phát hiện lỗi)</t>
  </si>
  <si>
    <t>SV-013</t>
  </si>
  <si>
    <t>Nhập IP sai cú pháp rõ ràng ("2..")</t>
  </si>
  <si>
    <t>1. Gõ từng ký tự "2.." vào ô IP Address.</t>
  </si>
  <si>
    <t>Hệ thống hiển thị lỗi "Invalid IP address" ngay khi gõ (validate realtime).</t>
  </si>
  <si>
    <t>Đúng như mong đợi: lỗi "Invalid IP address" xuất hiện ngay khi gõ "2..".</t>
  </si>
  <si>
    <t>SV-014</t>
  </si>
  <si>
    <t>[BUG] Nhập IP đủ 4 nhóm số nhưng vượt phạm vi octet ("999.999.999.999")</t>
  </si>
  <si>
    <t>1. Gõ từng ký tự "999.999.999.999" vào ô IP Address.
2. Quan sát thông báo lỗi.</t>
  </si>
  <si>
    <t>Phải hiển thị lỗi "Invalid IP address" vì octet không được vượt quá 255.</t>
  </si>
  <si>
    <t>Vẫn còn bug: nhập "999.999.999.999" (octet vượt 255) KHÔNG hiển thị lỗi "Invalid IP address". Client chỉ regex-check "4 nhóm số cách dấu chấm", không check range 0-255.</t>
  </si>
  <si>
    <t>SV-015</t>
  </si>
  <si>
    <t>[BUG] Nhập IP dạng chữ không hợp lệ ("abc")</t>
  </si>
  <si>
    <t>1. Gõ "abc" vào ô IP Address.
2. Quan sát thông báo lỗi.</t>
  </si>
  <si>
    <t>Phải hiển thị lỗi "Invalid IP address".</t>
  </si>
  <si>
    <t xml:space="preserve">KHÔNG cho điền chữ </t>
  </si>
  <si>
    <t>SV-016</t>
  </si>
  <si>
    <t>Nhập IP có 1 octet vượt phạm vi ("192.168.1.500")</t>
  </si>
  <si>
    <t>1. Gõ "192.168.1.500" vào ô IP Address.
2. Quan sát thông báo lỗi.</t>
  </si>
  <si>
    <t>Phải hiển thị lỗi "Invalid IP address" vì octet cuối vượt quá 255.</t>
  </si>
  <si>
    <t>"192.168.1.500" (octet cuối vượt 255) vẫn KHÔNG báo lỗi.</t>
  </si>
  <si>
    <t>SV-017</t>
  </si>
  <si>
    <t>Nhập IP hợp lệ ("192.168.1.1")</t>
  </si>
  <si>
    <t>1. Gõ "192.168.1.1" vào ô IP Address.</t>
  </si>
  <si>
    <t>Không hiển thị lỗi.</t>
  </si>
  <si>
    <t>Đúng như mong đợi, không có lỗi hiển thị.</t>
  </si>
  <si>
    <t>SV-018</t>
  </si>
  <si>
    <t>Bấm "Check" với IP không hợp lệ (999.999.999.999) đã lọt qua validate client</t>
  </si>
  <si>
    <t>Đã điền IP=999.999.999.999 cùng các field khác hợp lệ</t>
  </si>
  <si>
    <t>1. Click "Check".
2. Quan sát kết quả.</t>
  </si>
  <si>
    <t>Vì client không chặn được, backend cần trả về lỗi rõ ràng khi kiểm tra kết nối.</t>
  </si>
  <si>
    <t>Hệ thống hiển thị toast đỏ "Connection check failed" ở góc dưới phải - backend có xử lý lỗi hợp lý dù client-side validate bị thiếu, nhưng camera vẫn CÓ THỂ được Save với IP không hợp lệ này vì Save không bắt buộc phải Check thành công trước (xem SV-024).</t>
  </si>
  <si>
    <t>SURV-ADD-004</t>
  </si>
  <si>
    <t>Validate Port</t>
  </si>
  <si>
    <t>SV-019</t>
  </si>
  <si>
    <t>Port để trống khi Save</t>
  </si>
  <si>
    <t>Modal Add camera đang mở, Port trống</t>
  </si>
  <si>
    <t>1. Click Save với Port trống.</t>
  </si>
  <si>
    <t>Hiển thị "This field is required", không cho lưu.</t>
  </si>
  <si>
    <t>Đúng như mong đợi (xem SV-012).</t>
  </si>
  <si>
    <t>SV-020</t>
  </si>
  <si>
    <t>Port nhập giá trị hợp lệ thông thường (554, 8080...)</t>
  </si>
  <si>
    <t>1. Nhập "554" vào Port.</t>
  </si>
  <si>
    <t>Chấp nhận giá trị, không báo lỗi.</t>
  </si>
  <si>
    <t>SV-021</t>
  </si>
  <si>
    <t>[CẦN KIỂM THỬ THÊM] Port nhập giá trị ngoài khoảng hợp lệ (âm, chữ, &gt; 65535)</t>
  </si>
  <si>
    <t>1. Nhập lần lượt "abc", "-1", "0", "99999", "70000" vào Port.
2. Quan sát thông báo lỗi cụ thể cho từng giá trị.</t>
  </si>
  <si>
    <t>Cần chặn giá trị không phải số dương trong khoảng 1-65535</t>
  </si>
  <si>
    <t>Chặn giá trị số âm , chữ cái không điền được và khi &gt; 5 chữ số hiển note 
63454546
Port must be a number between 1 and 65535</t>
  </si>
  <si>
    <t>SURV-ADD-005</t>
  </si>
  <si>
    <t>AI Feature Configuration</t>
  </si>
  <si>
    <t>SV-022</t>
  </si>
  <si>
    <t>Hiển thị 5 toggle tính năng AI</t>
  </si>
  <si>
    <t>1. Quan sát section 3.</t>
  </si>
  <si>
    <t>Cột trái: Intrusion Detection, Object Counting, Face Recognition. Cột phải: Smart Tracking (PTZ only), Face Recognition. Toggle mặc định OFF.</t>
  </si>
  <si>
    <t>Đúng 5 toggle như quan sát, mặc định đều OFF (xám).</t>
  </si>
  <si>
    <t>SV-023</t>
  </si>
  <si>
    <t>[BUG] Nhãn "Face Recognition" bị trùng lặp</t>
  </si>
  <si>
    <t>1. Đếm số lần label "Face Recognition" xuất hiện trong section AI Feature Configuration.</t>
  </si>
  <si>
    <t>Mỗi tính năng AI phải có 1 nhãn riêng biệt, không trùng lặp.</t>
  </si>
  <si>
    <t>Label "Face Recognition" xuất hiện 2 LẦN (hàng 3 cột trái và hàng 2 cột phải) trỏ tới 2 toggle khác nhau. Nhiều khả năng 1 trong 2 toggle bị gán nhầm text (lẽ ra phải là tên tính năng khác, ví dụ nhận diện biển số/phương tiện) do lỗi copy-paste label. Đã xác nhận lặp lại ở cả modal Add camera và modal Camera Configuration (edit).</t>
  </si>
  <si>
    <t>SV-024</t>
  </si>
  <si>
    <t>Smart Tracking bị vô hiệu hoá khi Type = Bullet</t>
  </si>
  <si>
    <t>Modal Add camera đang mở, Type = Bullet (mặc định)</t>
  </si>
  <si>
    <t>1. Quan sát toggle "Smart Tracking (PTZ only)".
2. Thử click vào toggle.</t>
  </si>
  <si>
    <t>Toggle ở trạng thái disabled (mờ, không click được) vì Smart Tracking chỉ áp dụng cho camera PTZ.</t>
  </si>
  <si>
    <t>Đúng như mong đợi: thuộc tính disabled=true khi Type=Bullet.</t>
  </si>
  <si>
    <t>SV-025</t>
  </si>
  <si>
    <t>Smart Tracking được kích hoạt khi đổi Type sang PTZ</t>
  </si>
  <si>
    <t>1. Đổi dropdown Type từ Bullet sang PTZ.
2. Quan sát lại toggle Smart Tracking.</t>
  </si>
  <si>
    <t>Toggle chuyển sang trạng thái enabled (click được).</t>
  </si>
  <si>
    <t>Đúng như mong đợi: disabled=false sau khi đổi Type sang PTZ.</t>
  </si>
  <si>
    <t>SV-026</t>
  </si>
  <si>
    <t>Bật toggle AI, lưu và kiểm tra hiển thị badge ở Device List</t>
  </si>
  <si>
    <t>Đã điền đầy đủ form hợp lệ</t>
  </si>
  <si>
    <t>1. Bật toggle "Intrusion Detection".
2. Click Save.
3. Quan sát card camera trong Device List &amp; Configuration.</t>
  </si>
  <si>
    <t>Camera được lưu, dưới thông tin IP/Port của card xuất hiện badge/tag nhỏ "Intrusion Detection" thể hiện tính năng AI đang bật.</t>
  </si>
  <si>
    <t>Đúng như mong đợi, xác nhận lại bằng cách tải mới (reload) trang: badge "Intrusion Detection" vẫn hiển thị dưới card sau khi rời và quay lại trang.</t>
  </si>
  <si>
    <t>SURV-ADD-006</t>
  </si>
  <si>
    <t>Connectivity &amp; Image Test (Check / Snapshot)</t>
  </si>
  <si>
    <t>SV-027</t>
  </si>
  <si>
    <t>Bấm "Check" với RTSP URL thật (demo public stream)</t>
  </si>
  <si>
    <t>Đã điền form với RTSP URL trỏ tới server demo công khai</t>
  </si>
  <si>
    <t>1. Click "Check".
2. Chờ kết quả trả về.</t>
  </si>
  <si>
    <t>Hệ thống gọi API kiểm tra kết nối thật (không phải giả lập), trả về các chỉ số: Latency (ms), ONVIF (Connected/Disconnected), Stream (Valid/Invalid).</t>
  </si>
  <si>
    <t>Xác nhận hệ thống gọi kiểm tra thật: trả về ví dụ Latency: 8ms / 375ms / 5006ms tuỳ theo target, ONVIF: Disconnected, Stream: Invalid (do server demo không hỗ trợ ONVIF/RTSP đúng chuẩn camera thật). Cơ chế Check hoạt động đúng như thiết kế, có gọi network thực sự.</t>
  </si>
  <si>
    <t>SV-028</t>
  </si>
  <si>
    <t>Bấm "Check" với IP công cộng bất kỳ (không phải camera)</t>
  </si>
  <si>
    <t>Đã điền IP công cộng ngẫu nhiên (VD 3.87.10.134)</t>
  </si>
  <si>
    <t>1. Click "Check".</t>
  </si>
  <si>
    <t>Không treo UI, trả kết quả trong thời gian hợp lý (có timeout), hiển thị Latency thực đo được + ONVIF Disconnected + Stream Invalid.</t>
  </si>
  <si>
    <t>Đúng như mong đợi, ví dụ Latency: 5006ms, ONVIF: Disconnected, Stream: Invalid. UI không bị treo.</t>
  </si>
  <si>
    <t>SV-029</t>
  </si>
  <si>
    <t>Bấm "Snapshot" khi chưa có stream hợp lệ</t>
  </si>
  <si>
    <t>Đã điền form, chưa Check thành công hoặc Check thất bại</t>
  </si>
  <si>
    <t>1. Click "Snapshot".</t>
  </si>
  <si>
    <t>Không crash ứng dụng, có phản hồi hợp lý (thông báo lỗi hoặc không có ảnh) cho người dùng biết không chụp được.</t>
  </si>
  <si>
    <t>UI phản hồi không crash (đã chụp màn hình đối chiếu G3-after-snapshot.png), không quan sát thấy ảnh preview xuất hiện trong khung PREVIEW FEED khi stream invalid - hành vi hợp lý.</t>
  </si>
  <si>
    <t>SURV-ADD-007</t>
  </si>
  <si>
    <t>Cancel / Save / Đóng modal Add camera</t>
  </si>
  <si>
    <t>SV-031</t>
  </si>
  <si>
    <t>Click Cancel sau khi đã nhập dữ liệu</t>
  </si>
  <si>
    <t>Đã nhập một số field trong modal Add camera</t>
  </si>
  <si>
    <t>1. Nhập dữ liệu bất kỳ.
2. Click "Cancel".</t>
  </si>
  <si>
    <t>Modal đóng, không lưu dữ liệu, quay về trạng thái trước đó ("No cameras configured" nếu chưa có camera nào).</t>
  </si>
  <si>
    <t>Đúng như mong đợi: sau Cancel, hệ thống quay về đúng trạng thái rỗng ban đầu, không có camera nào bị lưu nhầm.</t>
  </si>
  <si>
    <t>SV-032</t>
  </si>
  <si>
    <t>Điền đầy đủ hợp lệ, Save thành công</t>
  </si>
  <si>
    <t>Đã điền đầy đủ toàn bộ field bắt buộc hợp lệ</t>
  </si>
  <si>
    <t>1. Click "Save".</t>
  </si>
  <si>
    <t>Toast xanh "Configuration saved successfully" hiển thị góc dưới phải, modal đóng, camera mới xuất hiện ngay trong Device List &amp; Configuration và khung Live preview.</t>
  </si>
  <si>
    <t>Đúng như mong đợi. Toast hiển thị đúng nội dung, modal đóng, camera xuất hiện trong danh sách (xác nhận lại bằng reload trang ở SV-033).</t>
  </si>
  <si>
    <t>SV-033</t>
  </si>
  <si>
    <t>Reload trang sau khi lưu camera</t>
  </si>
  <si>
    <t>Đã lưu ít nhất 1 camera thành công</t>
  </si>
  <si>
    <t>1. Nhấn F5/reload trình duyệt.</t>
  </si>
  <si>
    <t>Camera vẫn còn nguyên trong Device List &amp; Configuration với đầy đủ thông tin đã lưu (tên, IP, port, type, AI toggle).</t>
  </si>
  <si>
    <t>Đúng như mong đợi: dữ liệu persist đúng qua reload (đã xác nhận qua Playwright, mở lại bằng browser session hoàn toàn mới vẫn thấy camera).</t>
  </si>
  <si>
    <t>SURV-LIST-001</t>
  </si>
  <si>
    <t>Device List &amp; Configuration - hiển thị card</t>
  </si>
  <si>
    <t>SV-034</t>
  </si>
  <si>
    <t>Card camera hiển thị đủ thông tin</t>
  </si>
  <si>
    <t>Đã có ít nhất 1 camera được lưu</t>
  </si>
  <si>
    <t>1. Quan sát 1 card camera bất kỳ trong Device List.</t>
  </si>
  <si>
    <t>Hiển thị: Tên camera (dạng link màu xanh), badge trạng thái (Offline màu đỏ / Online màu xanh), dòng "IP: x.x.x.x | Port: xxx", "Type: BULLET/PTZ", "Protocol: IP", nút "Xóa", nút "Configuration".</t>
  </si>
  <si>
    <t>Đúng như mong đợi, đầy đủ thông tin.</t>
  </si>
  <si>
    <t>SV-035</t>
  </si>
  <si>
    <t>[BUG i18n] Nút xoá hiển thị tiếng Việt "Xóa" giữa giao diện tiếng Anh</t>
  </si>
  <si>
    <t>1. Quan sát nhãn nút xóa trên card.</t>
  </si>
  <si>
    <t>Toàn bộ UI của module đang dùng tiếng Anh (Add camera, Configuration, Save, Cancel, Offline...) nên nút này cũng nên là "Delete" để đồng nhất.</t>
  </si>
  <si>
    <t>Nút hiển thị nhãn tiếng Việt "Xóa" (kèm icon thùng rác) trong khi mọi label khác đều là tiếng Anh - không đồng bộ ngôn ngữ, ảnh hưởng trải nghiệm nếu hệ thống được cấu hình chạy tiếng Anh.</t>
  </si>
  <si>
    <t>SV-036</t>
  </si>
  <si>
    <t>Nhiều camera hiển thị đồng thời</t>
  </si>
  <si>
    <t>Đã lưu từ 2 camera trở lên</t>
  </si>
  <si>
    <t>1. Thêm camera thứ 2.
2. Quan sát cả Device List và Live preview.</t>
  </si>
  <si>
    <t>Device List xếp các card theo chiều dọc (mới nhất lên đầu). Live preview chia thành các cột/panel riêng cho từng camera, chia đều chiều ngang.</t>
  </si>
  <si>
    <t>Đúng như mong đợi khi test với 2 camera: Device List xếp dọc đúng thứ tự mới nhất trước, Live preview chia 2 cột bằng nhau.</t>
  </si>
  <si>
    <t>SURV-LIVE-001</t>
  </si>
  <si>
    <t>Khung Live preview</t>
  </si>
  <si>
    <t>SV-037</t>
  </si>
  <si>
    <t>Hiển thị lỗi kết nối stream khi backend go2rtc không sẵn sàng</t>
  </si>
  <si>
    <t>Đã có camera được lưu, server streaming (go2rtc) không phản hồi trong môi trường test</t>
  </si>
  <si>
    <t>1. Quan sát khung Live preview của camera vừa lưu.</t>
  </si>
  <si>
    <t>Thay vì màn hình trắng/treo, hệ thống hiển thị thông báo lỗi rõ ràng "WebSocket Security/Connection Error. Ensure go2rtc is running." kèm nút "Reconnect".</t>
  </si>
  <si>
    <t>Đúng như mong đợi: thông báo lỗi rõ ràng, có nút Reconnect, UI không bị treo/crash.</t>
  </si>
  <si>
    <t>SV-038</t>
  </si>
  <si>
    <t>Click nút "Reconnect" khi đang lỗi kết nối</t>
  </si>
  <si>
    <t>Khung preview đang hiển thị lỗi WebSocket</t>
  </si>
  <si>
    <t>1. Click "Reconnect".
2. Chờ vài giây quan sát.</t>
  </si>
  <si>
    <t>Hệ thống thử kết nối lại; nếu server streaming thực sự vẫn không sẵn sàng thì tiếp tục hiển thị lỗi tương tự (không crash, không bị kẹt loading vô hạn).</t>
  </si>
  <si>
    <t>Đúng như mong đợi: click Reconnect không làm crash trang, lỗi lặp lại đúng như tình trạng thực tế server (go2rtc không chạy trong môi trường test).</t>
  </si>
  <si>
    <t>SV-039</t>
  </si>
  <si>
    <t>Thanh điều khiển &amp; tên camera hiển thị trên panel preview</t>
  </si>
  <si>
    <t>Đã có camera được lưu</t>
  </si>
  <si>
    <t>1. Quan sát panel preview (kể cả khi đang lỗi).</t>
  </si>
  <si>
    <t>Góc trên-trái hiển thị tên &amp; loại camera (VD "BULLET"). Thanh điều khiển dưới cùng có icon play/pause, nhãn "AI ANALYTICS", icon fullscreen.</t>
  </si>
  <si>
    <t>Panel preview hiển thị tên/loại camera và label "AI ANALYTICS" trên thanh điều khiển. Hành vi play/pause/fullscreen chưa kiểm thử đầy đủ vì stream chưa từng kết nối thành công.</t>
  </si>
  <si>
    <t>SURV-EDIT-001</t>
  </si>
  <si>
    <t>Camera Configuration (modal chỉnh sửa)</t>
  </si>
  <si>
    <t>SV-040</t>
  </si>
  <si>
    <t>Mở modal Configuration, dữ liệu prefill chính xác</t>
  </si>
  <si>
    <t>1. Click nút "Configuration" trên 1 card camera.</t>
  </si>
  <si>
    <t>Modal mở tiêu đề "Camera Configuration: &lt;tên camera&gt;", toàn bộ field (tên, IP, port, username, password, MAC, RTSP URL, toggle AI) hiển thị đúng giá trị đã lưu trước đó.</t>
  </si>
  <si>
    <t>Đúng như mong đợi, xác nhận qua Playwright: tên và IP hiển thị khớp 100% với dữ liệu đã lưu.</t>
  </si>
  <si>
    <t>SV-041</t>
  </si>
  <si>
    <t>Sửa dữ liệu rồi Cancel - không lưu thay đổi</t>
  </si>
  <si>
    <t>Modal Configuration đang mở</t>
  </si>
  <si>
    <t>1. Sửa tên camera + bật thêm 1 toggle AI.
2. Click "Cancel".
3. Quan sát lại card camera.</t>
  </si>
  <si>
    <t>Modal đóng, tên/toggle KHÔNG bị thay đổi, dữ liệu cũ vẫn giữ nguyên trên card.</t>
  </si>
  <si>
    <t>Đúng như mong đợi: sau Cancel, tên mới (chưa lưu) không xuất hiện, tên gốc vẫn còn nguyên.</t>
  </si>
  <si>
    <t>SV-042</t>
  </si>
  <si>
    <t>Sửa dữ liệu rồi Save - lưu thay đổi thành công</t>
  </si>
  <si>
    <t>1. Sửa tên camera + bật thêm 1 toggle AI.
2. Click "Save".</t>
  </si>
  <si>
    <t>Toast lưu thành công hiển thị, tên mới + badge AI mới xuất hiện đúng trên card trong Device List.</t>
  </si>
  <si>
    <t>Đúng như mong đợi: xác nhận lại bằng cách mở phiên trình duyệt mới và reload trang, tên mới và badge AI vẫn hiển thị đúng - dữ liệu đã persist trên backend.</t>
  </si>
  <si>
    <t>SV-043</t>
  </si>
  <si>
    <t>Đóng modal Configuration bằng icon X</t>
  </si>
  <si>
    <t>1. Click icon X ở góc phải tiêu đề modal.</t>
  </si>
  <si>
    <t>Modal đóng ngay, hành vi tương đương Cancel (không lưu thay đổi chưa Save).</t>
  </si>
  <si>
    <t>Đúng như mong đợi: modal đóng khi click đúng icon X (lưu ý: cần phân biệt icon X với dropdown Type nằm gần đó, vì cả 2 đều là phần tử tương tác trong header/section 1).</t>
  </si>
  <si>
    <t>SURV-DEL-001</t>
  </si>
  <si>
    <t>Xoá camera</t>
  </si>
  <si>
    <t>SV-044</t>
  </si>
  <si>
    <t>Click nút "Xóa" hiển thị hộp thoại xác nhận gốc của trình duyệt</t>
  </si>
  <si>
    <t>1. Click nút "Xóa" trên card camera.
2. Quan sát hộp thoại xuất hiện.</t>
  </si>
  <si>
    <t>Hệ thống cần xác nhận trước khi xoá (tránh xoá nhầm), có thể bằng modal tuỳ chỉnh hoặc hộp thoại xác nhận.</t>
  </si>
  <si>
    <t>Hệ thống dùng HỘP THOẠI XÁC NHẬN GỐC CỦA TRÌNH DUYỆT (window.confirm), không phải modal tuỳ chỉnh trong giao diện app, với nội dung: "Bạn có chắc chắn muốn xóa thiết bị này không?". Nếu công cụ tự động hoá (Playwright/Selenium) không xử lý dialog này, thao tác xoá sẽ coi như bị huỷ (không có tác dụng) - cần lưu ý khi viết test tự động cho tính năng này.</t>
  </si>
  <si>
    <t>SV-045</t>
  </si>
  <si>
    <t>[BUG i18n] Nội dung hộp thoại xác nhận xoá bằng tiếng Việt</t>
  </si>
  <si>
    <t>Hộp thoại xác nhận xoá đang hiển thị</t>
  </si>
  <si>
    <t>1. Đọc nội dung hộp thoại.</t>
  </si>
  <si>
    <t>Nên đồng nhất ngôn ngữ tiếng Anh với toàn bộ phần còn lại của giao diện.</t>
  </si>
  <si>
    <t>Nội dung hộp thoại là tiếng Việt: "Bạn có chắc chắn muốn xóa thiết bị này không?" - cùng loại lỗi không đồng bộ ngôn ngữ như SV-035 (nút "Xóa") và toast xóa thành công (SV-046).</t>
  </si>
  <si>
    <t>SV-046</t>
  </si>
  <si>
    <t>Xác nhận xoá - camera bị xoá khỏi danh sách</t>
  </si>
  <si>
    <t>1. Xác nhận đồng ý (OK) trên hộp thoại.</t>
  </si>
  <si>
    <t>Camera biến mất khỏi Device List &amp; Configuration và khung Live preview, có toast thông báo xoá thành công.</t>
  </si>
  <si>
    <t>Đúng như mong đợi: camera biến mất khỏi danh sách ngay lập tức, toast hiển thị "Đã xóa thiết bị thành công" (tiếng Việt - xem thêm SV-045).</t>
  </si>
  <si>
    <t>SURV-EVT-001</t>
  </si>
  <si>
    <t>List Events - bảng &amp; bộ lọc sự kiện</t>
  </si>
  <si>
    <t>SV-047</t>
  </si>
  <si>
    <t>Bảng List Events hiển thị đủ cột</t>
  </si>
  <si>
    <t>1. Quan sát bảng trong khung List Events.</t>
  </si>
  <si>
    <t>Đủ cột: #, RECORDED IMAGE, RECORDED TIME, EVENT NAME, VALUE, DEVICE, SEVERITY.</t>
  </si>
  <si>
    <t>Đúng như mong đợi, đủ 7 cột.</t>
  </si>
  <si>
    <t>SV-048</t>
  </si>
  <si>
    <t>Trạng thái rỗng của bảng sự kiện</t>
  </si>
  <si>
    <t>Chưa có sự kiện AI nào được ghi nhận</t>
  </si>
  <si>
    <t>1. Quan sát bảng khi không có dữ liệu.</t>
  </si>
  <si>
    <t>Hiển thị icon + text "No data" giữa bảng, dòng "No data available" phía dưới, phân trang mặc định trang "1", page-size "5".</t>
  </si>
  <si>
    <t>SV-049</t>
  </si>
  <si>
    <t>Dropdown "Event Name" (multi-select)</t>
  </si>
  <si>
    <t>1. Click vào ô "Event Name".
2. Quan sát danh sách option.</t>
  </si>
  <si>
    <t>Hiển thị danh sách option dạng multi-select (cho phép chọn nhiều).</t>
  </si>
  <si>
    <t>Đúng như mong đợi: dropdown cho phép multi-select, danh sách option ghi nhận được gồm: "Face recognition", "Intrusion detected". Lưu ý: chỉ 2/4 tính năng AI cấu hình được (Intrusion Detection, Object Counting, Face Recognition x2, Smart Tracking) có tên sự kiện tương ứng ở đây - cần xác nhận với business đây có phải chủ đích (chỉ 2 tính năng sinh sự kiện log) hay thiếu sót.</t>
  </si>
  <si>
    <t>SV-050</t>
  </si>
  <si>
    <t>Dropdown mức độ (severity, mặc định "All")</t>
  </si>
  <si>
    <t>1. Click vào dropdown mức độ (mặc định hiển thị "All").
2. Quan sát danh sách option.</t>
  </si>
  <si>
    <t>Hiển thị các mức độ cảnh báo.</t>
  </si>
  <si>
    <t>Đúng như mong đợi, ghi nhận option: All, Notification, Warning, Emergency.</t>
  </si>
  <si>
    <t>SV-052</t>
  </si>
  <si>
    <t>Bộ lọc khoảng ngày - preset nhanh</t>
  </si>
  <si>
    <t>1. Click vào ô ngày (định dạng DD/MM/YYYY).
2. Quan sát danh sách preset bên trái lịch.</t>
  </si>
  <si>
    <t>Hiển thị các preset nhanh: Today, Yesterday, Last 7 Days, Last 30 Days, This Month, kèm lịch chọn ngày và chọn giờ:phút (HH:mm) riêng cho mốc bắt đầu/kết thúc, có nút OK.</t>
  </si>
  <si>
    <t>Đúng như mong đợi, đủ 5 preset + lịch + chọn giờ + nút OK.</t>
  </si>
  <si>
    <t>SV-053</t>
  </si>
  <si>
    <t>Áp dụng preset "Yesterday"</t>
  </si>
  <si>
    <t>Date range picker đang mở</t>
  </si>
  <si>
    <t>1. Click preset "Yesterday".</t>
  </si>
  <si>
    <t>Khoảng ngày bắt đầu/kết thúc trên 2 ô input tự động cập nhật thành ngày hôm qua 00:00 -&gt; 23:59.</t>
  </si>
  <si>
    <t>Áp dụng preset thành công, không lỗi UI.</t>
  </si>
  <si>
    <t>SURV-RESP-001</t>
  </si>
  <si>
    <t>Responsive / Mobile</t>
  </si>
  <si>
    <t>SV-054</t>
  </si>
  <si>
    <t>Không phát sinh cuộn ngang ở màn hình 375px</t>
  </si>
  <si>
    <t>1. Thu nhỏ viewport trình duyệt về 375px (mobile phổ biến).
2. Quan sát toàn trang.</t>
  </si>
  <si>
    <t>Không xuất hiện thanh cuộn ngang, không vỡ layout.</t>
  </si>
  <si>
    <t>Đo được scrollWidth = clientWidth = 375px -&gt; không có tràn ngang.</t>
  </si>
  <si>
    <t>SV-055</t>
  </si>
  <si>
    <t>Sidebar &amp; header thu gọn ở màn hình 480px</t>
  </si>
  <si>
    <t>1. Thu nhỏ viewport về 480px.
2. Quan sát sidebar và tiêu đề header.</t>
  </si>
  <si>
    <t>Sidebar thu gọn về dạng icon, tiêu đề trang có thể rút gọn nếu quá dài.</t>
  </si>
  <si>
    <t>Sidebar thu gọn đúng, tiêu đề header bị cắt ngắn thành "Smart Pole Mana..." (dùng dấu ... ) - chấp nhận được về mặt UX nhưng nên cân nhắc rút gọn tên hệ thống hoặc dùng tooltip đầy đủ khi hover.</t>
  </si>
  <si>
    <t>SV-056</t>
  </si>
  <si>
    <t>Card camera &amp; badge AI hiển thị đủ ở màn hình nhỏ</t>
  </si>
  <si>
    <t>Đã có camera được lưu, viewport 480px</t>
  </si>
  <si>
    <t>1. Quan sát card camera ở màn hình nhỏ.</t>
  </si>
  <si>
    <t>Card không bị chồng chéo, đầy đủ thông tin, các nút bấm vẫn thao tác được (không quá nhỏ để bấm).</t>
  </si>
  <si>
    <t>Đúng như mong đợi, card hiển thị đầy đủ, badge AI feature (VD "Intrusion Detection") vẫn hiển thị rõ dưới thông tin camera.</t>
  </si>
  <si>
    <t>SURV-SEC-001</t>
  </si>
  <si>
    <t>Phân quyền truy cập (Role-based access)</t>
  </si>
  <si>
    <t>SV-058</t>
  </si>
  <si>
    <t>Chưa xác định được cơ chế phân quyền Viewer/Operator/Admin</t>
  </si>
  <si>
    <t>Chỉ có 1 tài khoản Admin để test trong phiên này</t>
  </si>
  <si>
    <t>1. Truy cập bằng tài khoản Admin (mặc định của phiên làm việc).
2. Quan sát có bị chặn thao tác nào không.</t>
  </si>
  <si>
    <t>(Theo bộ test cũ) mong đợi Viewer/Operator bị giới hạn thao tác so với Admin.</t>
  </si>
  <si>
    <t>Phiên làm việc chỉ có sẵn 1 tài khoản (Admin, không thấy màn hình đăng nhập chặn truy cập /surveillance trực tiếp bằng URL trong phiên test này). CHƯA kiểm thử được sự khác biệt giữa các role vì không có tài khoản Viewer/Operator để đối chứng. Cần bổ sung tài khoản test theo từng role để hoàn thiện nhóm test case này ở lần sau.</t>
  </si>
  <si>
    <t xml:space="preserve">OPEN </t>
  </si>
  <si>
    <t>SURV-ADD-008</t>
  </si>
  <si>
    <t>Validate MAC Address &amp; input đặc biệt</t>
  </si>
  <si>
    <t>SV-059</t>
  </si>
  <si>
    <t>[BUG] Không validate định dạng MAC Address</t>
  </si>
  <si>
    <t>1. Nhập MAC Address sai định dạng hoàn toàn: "ZZ:ZZ:ZZ:ZZ:ZZ:ZZ" (không phải ký tự hex).
2. Nhập tiếp dạng thiếu dấu hai chấm: "AABBCCDDEEFF".
3. Quan sát thông báo lỗi sau mỗi lần nhập.</t>
  </si>
  <si>
    <t>Phải hiển thị lỗi định dạng MAC không hợp lệ (MAC chuẩn gồm 6 nhóm hex 2 ký tự, cách nhau bởi dấu hai chấm).</t>
  </si>
  <si>
    <t xml:space="preserve">Hệ thống không cho nhập dữ liệu nếu định dạng MAC không hợp lệ </t>
  </si>
  <si>
    <t>SV-060</t>
  </si>
  <si>
    <t>Nhập ký tự đặc biệt/HTML injection vào Camera Name</t>
  </si>
  <si>
    <t>1. Nhập "&lt;script&gt;alert(1)&lt;/script&gt;" vào Camera Name.
2. Quan sát input có chặn/escape ký tự hay không.</t>
  </si>
  <si>
    <t>Nên chặn hoặc escape ký tự HTML/script để tránh rủi ro XSS khi tên camera được hiển thị lại ở nơi khác (Device List, Live preview, dropdown lọc Event...).</t>
  </si>
  <si>
    <t>Ô input chấp nhận nguyên văn chuỗi chứa thẻ &lt;script&gt; mà không chặn/cảnh báo gì ở mức nhập liệu. CHƯA xác nhận được mức độ rủi ro thực tế (có bị thực thi khi hiển thị lại hay được React tự động escape an toàn) vì chưa Save để tránh lưu dữ liệu rác vào hệ thống dùng chung. Khuyến nghị: kiểm thử lại có kiểm soát (trên môi trường riêng/không dùng chung) để xác nhận React có escape đúng cách khi render lại tên camera hay không.</t>
  </si>
  <si>
    <t>SV-061</t>
  </si>
  <si>
    <t>Nhập Camera Name rất dài (150 ký tự)</t>
  </si>
  <si>
    <t>1. Nhập chuỗi 150 ký tự vào Camera Name.
2. Quan sát input có giới hạn độ dài không, UI có vỡ không.</t>
  </si>
  <si>
    <t>Nên có giới hạn độ dài hợp lý (VD 50-100 ký tự) để tránh vỡ layout card/tên hiển thị ở nhiều nơi (Device List, Live preview, dropdown).</t>
  </si>
  <si>
    <t>Ô input CHẤP NHẬN toàn bộ 150 ký tự, không có thuộc tính giới hạn (maxlength) chặn bớt. Chưa Save nên chưa xác nhận được ảnh hưởng thực tế lên layout card/tiêu đề panel khi tên quá dài. Khuyến nghị bổ sung giới hạn độ dài hợp lý ở cả client và server.</t>
  </si>
  <si>
    <t>SV-062</t>
  </si>
  <si>
    <t>Icon con mắt ẩn/hiện mật khẩu hoạt động đúng</t>
  </si>
  <si>
    <t>Modal Add camera đang mở, đã nhập mật khẩu</t>
  </si>
  <si>
    <t>1. Nhập mật khẩu bất kỳ vào ô Password.
2. Click icon con mắt.
3. Quan sát mật khẩu hiện rõ dạng text.
4. Click lại icon để ẩn.</t>
  </si>
  <si>
    <t>Mật khẩu chuyển từ dạng chấm tròn (•••) sang dạng chữ thường (text) khi click, và ngược lại.</t>
  </si>
  <si>
    <t>Đúng như mong đợi: thuộc tính type của input chuyển từ "password" sang "text" khi click icon con mắt.</t>
  </si>
  <si>
    <t>SURV-RELIABILITY-001</t>
  </si>
  <si>
    <t>Độ ổn định API khi thao tác lặp lại</t>
  </si>
  <si>
    <t>SV-063</t>
  </si>
  <si>
    <t>[BUG NGHIÊM TRỌNG] API lưu/cập nhật cấu hình camera trả lỗi 504 Gateway Timeout khi thao tác liên tục</t>
  </si>
  <si>
    <t>Đã thực hiện nhiều lượt Add/Edit/Delete camera liên tiếp trong thời gian ngắn (trong cùng 1 phiên kiểm thử)</t>
  </si>
  <si>
    <t>1. Thực hiện liên tục nhiều thao tác Save/Update camera trong khoảng vài phút.
2. Chờ 90 giây.
3. Thử Save lại một camera mới hoàn toàn.</t>
  </si>
  <si>
    <t>API lưu cấu hình camera phải phản hồi ổn định (200 OK) trong điều kiện tải nhẹ của 1 người dùng thao tác tuần tự, không nên timeout.</t>
  </si>
  <si>
    <t>status codes quan sát được: 200, thực hiện 3 lượt Save liên tiếp nhanh, quy mô nhỏ hơn để giảm rủi ro cho hệ thống dùng chung</t>
  </si>
  <si>
    <t xml:space="preserve">Cần theo dõi thêm </t>
  </si>
  <si>
    <t>SURV-PERF-001</t>
  </si>
  <si>
    <t>Đo hiệu năng (Performance)</t>
  </si>
  <si>
    <t>SV-064</t>
  </si>
  <si>
    <t>Thời gian tải trang Surveillance (cold navigation)</t>
  </si>
  <si>
    <t>Chưa mở trang Surveillance trong phiên trình duyệt</t>
  </si>
  <si>
    <t>1. Điều hướng tới URL /surveillance lần đầu.
2. Đo thời gian tới khi sự kiện window.load kích hoạt và banner "Surveillance Control" render xong.</t>
  </si>
  <si>
    <t>Trang tải và render xong trong thời gian hợp lý (&lt; 3-5 giây trong điều kiện mạng LAN nội bộ bình thường).</t>
  </si>
  <si>
    <t>Đo thực tế: window.load = 20ms, tới khi banner render xong = 147ms. Rất nhanh trong điều kiện test (mạng LAN/tunnel nội bộ, chưa tính thời gian tải asset JS/CSS lần đầu do trình duyệt có thể đã cache).</t>
  </si>
  <si>
    <t>SV-065</t>
  </si>
  <si>
    <t>Thời gian mở modal "Add camera"</t>
  </si>
  <si>
    <t>Đã ở trang Surveillance</t>
  </si>
  <si>
    <t>1. Click nút "Add camera".
2. Đo thời gian tới khi modal render xong (section 1 hiển thị).</t>
  </si>
  <si>
    <t>Modal mở mượt, không giật/lag, lý tưởng &lt; 500ms.</t>
  </si>
  <si>
    <t>Đo thực tế: 89ms - phản hồi tức thời, không có độ trễ đáng chú ý.</t>
  </si>
  <si>
    <t>SV-066</t>
  </si>
  <si>
    <t>Thời gian lưu (Save) camera - round trip</t>
  </si>
  <si>
    <t>1. Click "Save".
2. Đo thời gian tới khi toast "saved successfully" xuất hiện.</t>
  </si>
  <si>
    <t>Phản hồi trong thời gian hợp lý, lý tưởng &lt; 2-3 giây.</t>
  </si>
  <si>
    <t>Thời gian round-trip Save (đến khi modal đóng/camera xuất hiện): 563ms.</t>
  </si>
  <si>
    <t>SV-067</t>
  </si>
  <si>
    <t>Thời gian phản hồi nút "Check" (kiểm tra kết nối thật)</t>
  </si>
  <si>
    <t>Đã điền đầy đủ form với RTSP URL hợp lệ</t>
  </si>
  <si>
    <t>1. Click "Check".
2. Đo thời gian tới khi kết quả Latency/ONVIF/Stream hiển thị.</t>
  </si>
  <si>
    <t>Phản hồi trong thời gian hợp lý dù phải gọi network thật tới thiết bị, lý tưởng có timeout rõ ràng (VD &lt; 10-15s) tránh treo UI.</t>
  </si>
  <si>
    <t>Đo thực tế: 129ms cho 1 lần gọi tới địa chỉ nội bộ (kết quả server trả Latency: 21ms). Ở các lần test khác với IP/host bên ngoài, đã ghi nhận thời gian phản hồi lên tới ~5 giây (Latency: 5006ms) nhưng vẫn có kết quả trả về, không bị treo UI vô hạn.</t>
  </si>
  <si>
    <t>SV-068</t>
  </si>
  <si>
    <t>Thời gian xoá (Delete) camera - round trip</t>
  </si>
  <si>
    <t>1. Click "Xóa", xác nhận dialog.
2. Đo thời gian tới khi toast xoá thành công xuất hiện.</t>
  </si>
  <si>
    <t>Đo thực tế: 237ms - nhanh, không có độ trễ đáng chú ý.</t>
  </si>
  <si>
    <t>SV-069</t>
  </si>
  <si>
    <t>[CHƯA HOÀN THÀNH] Hiệu năng khi thêm nhiều camera liên tiếp (bulk, N=8) &amp; tải lại danh sách</t>
  </si>
  <si>
    <t>Chưa có camera nào trong hệ thống</t>
  </si>
  <si>
    <t>1. Thêm liên tiếp 8 camera qua modal Add camera.
2. Đo tổng thời gian &amp; thời gian trung bình mỗi lần thêm.
3. Reload trang, đo thời gian tải lại danh sách 8 camera.</t>
  </si>
  <si>
    <t>Thời gian thêm mỗi camera ổn định, không tăng dần theo số lượng camera đã có; thời gian tải lại danh sách với N=8 vẫn nhanh, không có dấu hiệu chậm dần theo dữ liệu.</t>
  </si>
  <si>
    <t>Thêm thành công liên tiếp 3/3 camera (quy mô giảm từ N=8 xuống N=3 để giảm rủi ro tải cho hệ thống dùng chung) trong 5873ms (~1958ms/camera trung bình). Không có dấu hiệu chậm dần rõ rệt qua 3 lượt.</t>
  </si>
  <si>
    <t>SURV-EDIT-002</t>
  </si>
  <si>
    <t>Đổi loại camera (Type) trên camera đã tồn tại</t>
  </si>
  <si>
    <t>SV-070</t>
  </si>
  <si>
    <t>Đổi Type từ Bullet sang PTZ trên camera ĐÃ LƯU qua modal Configuration</t>
  </si>
  <si>
    <t>Đã có 1 camera loại Bullet được lưu</t>
  </si>
  <si>
    <t>1. Mở modal Configuration của camera đó.
2. Đổi dropdown Type sang PTZ.
3. Quan sát toggle Smart Tracking có được enable không.
4. Click Save, quan sát card cập nhật đúng Type mới.</t>
  </si>
  <si>
    <t>Toggle Smart Tracking chuyển sang enable ngay khi chọn PTZ (giống hành vi đã xác nhận ở modal Add camera - xem SV-025); sau khi Save, card hiển thị đúng Type = PTZ.</t>
  </si>
  <si>
    <t>KHÔNG hoàn thành được do bước setup (lưu camera Bullet ban đầu) bị chặn bởi lỗi 504 Gateway Timeout (xem SV-A05) trong lần thử lại (kể cả sau khi chờ 90 giây). Hành vi đổi Type ở modal ADD (camera mới, chưa lưu) đã xác nhận hoạt động đúng (SV-024/SV-025); riêng trường hợp đổi Type trên camera ĐÃ LƯU trước đó (qua Save/Update thay vì Create) chưa được xác nhận độc lập. Cần test lại khi backend ổn định.</t>
  </si>
  <si>
    <t>BLOCKED</t>
  </si>
  <si>
    <t>SURV-DEL-002</t>
  </si>
  <si>
    <t>Xoá camera cuối cùng còn lại</t>
  </si>
  <si>
    <t>SV-071</t>
  </si>
  <si>
    <t>Xoá camera CUỐI CÙNG trong danh sách quay lại đúng trạng thái rỗng ban đầu</t>
  </si>
  <si>
    <t>Chỉ còn đúng 1 camera trong Device List &amp; Configuration</t>
  </si>
  <si>
    <t>1. Click "Xóa" trên camera cuối cùng, xác nhận dialog.
2. Quan sát lại toàn trang.</t>
  </si>
  <si>
    <t>Trang quay lại đúng trạng thái ban đầu: hiển thị "No cameras configured" ở cả khung Live preview và Device List (giống SV-004), không còn dữ liệu rác/card trống nào sót lại.</t>
  </si>
  <si>
    <t>Xác nhận qua kiểm thử thực tế (phiên trước khi backend gặp lỗi 504): sau khi xoá camera cuối cùng ("AUDIT-Cam-01-Renamed"), tải lại trang bằng phiên trình duyệt hoàn toàn mới vẫn hiển thị đúng "No cameras configured", không còn sót dữ liệu.</t>
  </si>
  <si>
    <t>SURV-ADD-009</t>
  </si>
  <si>
    <t>Kiểm tra trùng lặp dữ liệu khi thêm camera</t>
  </si>
  <si>
    <t>SV-072</t>
  </si>
  <si>
    <t>Thêm 2 camera với cùng IP Address &amp; MAC Address</t>
  </si>
  <si>
    <t>1. Thêm camera A với IP=192.168.50.20, MAC=AA:BB:CC:DD:EE:60, Save thành công.
2. Thêm tiếp camera B với IP &amp; MAC giống hệt camera A (chỉ khác tên).
3. Quan sát hệ thống có chặn/cảnh báo trùng lặp không.</t>
  </si>
  <si>
    <t>Hệ thống nên cảnh báo hoặc chặn khi phát hiện IP/MAC trùng với camera đã tồn tại, tránh xung đột định danh thiết bị khi vận hành thật.</t>
  </si>
  <si>
    <t>KHÔNG hoàn thành được do gặp lỗi 504 Gateway Timeout (SV-A05) ngay ở bước thêm camera thứ 2 trong chuỗi thao tác liên tiếp. Cần test lại độc lập (giãn cách thời gian giữa 2 lần Save) khi backend ổn định để có kết luận chính xác về việc hệ thống có validate trùng lặp IP/MAC hay không - đây là rủi ro nghiệp vụ đáng quan tâm nếu chưa có, vì 2 camera cùng IP/MAC có thể gây xung đột khi kết nối thiết bị thật.</t>
  </si>
  <si>
    <t>SV-073</t>
  </si>
  <si>
    <t>Bật đồng thời nhiều toggle AI (Intrusion Detection + Object Counting) trên 1 camera</t>
  </si>
  <si>
    <t>1. Bật toggle Intrusion Detection.
2. Bật thêm toggle Object Counting.
3. Click Save.
4. Quan sát card có hiển thị đủ cả 2 badge tương ứng không.</t>
  </si>
  <si>
    <t>Cả 2 badge "Intrusion Detection" và "Object Counting" đều hiển thị dưới card camera sau khi lưu, không bị ghi đè/mất badge nào.</t>
  </si>
  <si>
    <t>KHÔNG hoàn thành được do gặp lỗi 504 Gateway Timeout khi Save (SV-A05) trong lần thử. Hành vi bật/lưu 1 toggle đơn lẻ đã xác nhận hoạt động đúng (SV-026); riêng việc bật NHIỀU toggle cùng lúc và hiển thị đủ nhiều badge đồng thời chưa được xác nhận độc lập. Cần test lại khi backend ổn định.</t>
  </si>
  <si>
    <t xml:space="preserve">BLOCKED </t>
  </si>
  <si>
    <t>Public address</t>
  </si>
  <si>
    <t>21/04/2026</t>
  </si>
  <si>
    <t>Cập nhật lại theo thiết kế mới</t>
  </si>
  <si>
    <t>Điều kiện tiên quyết
(Pre Conditions)</t>
  </si>
  <si>
    <t>PA UI 001</t>
  </si>
  <si>
    <t>Giao diện &amp; điều hướng module Public Address</t>
  </si>
  <si>
    <t>PA 001</t>
  </si>
  <si>
    <t>Hiển thị trạng thái mặc định khi mở module</t>
  </si>
  <si>
    <t>User đã đăng nhập và có quyền truy cập Public Address</t>
  </si>
  <si>
    <t>1.  Click vào menu “Public Address”
2.  Quan sát panel “Status” ở góc trái</t>
  </si>
  <si>
    <t xml:space="preserve">Panel Status hiển thị đầy đủ
Có icon dạng sóng (biểu tượng phát thanh)
Hiển thị text trạng thái chính (ví dụ: “Ready”)
Có badge trạng thái (Online/Offline)
 Màu sắc badge đúng theo thiết kế </t>
  </si>
  <si>
    <t>PA 002</t>
  </si>
  <si>
    <t>Hiển thị trạng thái khi hệ thống Online</t>
  </si>
  <si>
    <t>Backend/Public Address service đang hoạt động bình thường</t>
  </si>
  <si>
    <t>1. Click vào menu “Public Address”
2. Quan sát panel Status</t>
  </si>
  <si>
    <t>Badge hiển thị “Online”   Badge có màu xanh Text “Ready” hiển thị đồng nhất với trạng thái Online</t>
  </si>
  <si>
    <t>PA 003</t>
  </si>
  <si>
    <t>Hiển thị trạng thái khi hệ thống Offline</t>
  </si>
  <si>
    <t>Ngắt kết nối backend hoặc service PA</t>
  </si>
  <si>
    <t>1. Ngắt kết nối server hoặc mock trạng thái Offline
2. Reload trang Public Address
3. Quan sát panel Status</t>
  </si>
  <si>
    <t xml:space="preserve">Badge hiển thị “Offline”   Badge có màu đỏ </t>
  </si>
  <si>
    <t>PA VOLUME 001</t>
  </si>
  <si>
    <t>Volume Levels– Mức âm lượng</t>
  </si>
  <si>
    <t>PA 004</t>
  </si>
  <si>
    <t>Hiển thị đầy đủ các thanh volume</t>
  </si>
  <si>
    <t>User đã vào trang Public Address</t>
  </si>
  <si>
    <t>1. Click vào menu “Public Address”
2. Quan sát panel “Volume Levels” bên phải</t>
  </si>
  <si>
    <t>Hiển thị 3 thanh: Master, Microphone, SIP
Mỗi thanh có label rõ ràng
Có giá trị số (ví dụ: 75) hiển thị bên cạnh
Thanh slider hiển thị đúng vị trí theo giá trị</t>
  </si>
  <si>
    <t>PA 005</t>
  </si>
  <si>
    <t>Điều chỉnh volume về min</t>
  </si>
  <si>
    <t>System Online</t>
  </si>
  <si>
    <t>1. Kéo thanh Master về mức thấp nhất (0)
2. Quan sát UI</t>
  </si>
  <si>
    <t>Giá trị hiển thị = 0
Thanh slider về đầu trái
Không vượt dưới min
Không bị giật lag</t>
  </si>
  <si>
    <t>PA 006</t>
  </si>
  <si>
    <t>Điều chỉnh volume về max</t>
  </si>
  <si>
    <t>1. Kéo thanh Microphone lên tối đa
2. Quan sát</t>
  </si>
  <si>
    <t>Giá trị đạt max (ví dụ 100 hoặc 75 theo system)
 Không vượt quá giới hạn</t>
  </si>
  <si>
    <t>PA 007</t>
  </si>
  <si>
    <t>Kéo volume liên tục</t>
  </si>
  <si>
    <t>1. Click giữ chuột vào slider
2. Kéo qua lại liên tục trong 2–3 giây</t>
  </si>
  <si>
    <t>Giá trị cập nhật realtime
Không bị delay lớn
Không crash UI</t>
  </si>
  <si>
    <t>PA 008</t>
  </si>
  <si>
    <t>Thao tác volume khi hệ thống Offline</t>
  </si>
  <si>
    <t>System Offline</t>
  </si>
  <si>
    <t>1. Khi Status = Offline
 2. Thử kéo slider</t>
  </si>
  <si>
    <t xml:space="preserve">Slider bị disable HOẶC Không gửi request điều chỉnh </t>
  </si>
  <si>
    <t>PA BROADCAST 001</t>
  </si>
  <si>
    <t>Broadcast History – Lịch sử phát thanh</t>
  </si>
  <si>
    <t>PA 009</t>
  </si>
  <si>
    <t>Hiển thị giao diện Broadcast Summary</t>
  </si>
  <si>
    <t>User đã đăng nhập, có quyền truy cập Public Address</t>
  </si>
  <si>
    <t>1. Đăng nhập hệ thống 
2. Mở module Public Address 
3. Quan sát khu vực Broadcast History (summary panel phía trên)</t>
  </si>
  <si>
    <t>Hiển thị 3 block: Last Broadcast, Total Today, Emergency Alerts
Layout đúng như thiết kế (3 cột ngang)
Không bị lệch UI, không mất text</t>
  </si>
  <si>
    <t>PA 010</t>
  </si>
  <si>
    <t>Kiểm tra giá trị mặc định khi chưa có dữ liệu</t>
  </si>
  <si>
    <t>Chưa có broadcast nào trong ngày</t>
  </si>
  <si>
    <t>1. Mở Public Address 
2. Quan sát summary panel</t>
  </si>
  <si>
    <t>Last Broadcast hiển thị dạng placeholder 
Total Today = 0 
Emergency Alerts = 0
Không hiển thị NaN/null</t>
  </si>
  <si>
    <t>PA 011</t>
  </si>
  <si>
    <t>Kiểm tra cập nhật Last Broadcast</t>
  </si>
  <si>
    <t>Đã thực hiện ít nhất 1 broadcast</t>
  </si>
  <si>
    <t>1. Thực hiện 1 hành động phát (Audio / Stream / SIP) 
2. Quan sát Last Broadcast</t>
  </si>
  <si>
    <t>Last Broadcast hiển thị thời gian gần nhất vừa thực hiện
Format đúng (HH:mm hoặc HH:mm:ss tùy design)</t>
  </si>
  <si>
    <t>PA 012</t>
  </si>
  <si>
    <t>Kiểm tra cập nhật Total Today</t>
  </si>
  <si>
    <t>Có dữ liệu broadcast trong ngày</t>
  </si>
  <si>
    <t>1. Ghi nhận giá trị Total Today hiện tại
2. Thực hiện thêm 1 broadcast 
3. Quan sát lại</t>
  </si>
  <si>
    <t>Total Today tăng thêm đúng 1 đơn vị
Không tăng sai hoặc không cập nhật</t>
  </si>
  <si>
    <t>PA 013</t>
  </si>
  <si>
    <t>Kiểm tra cập nhật Emergency Alerts</t>
  </si>
  <si>
    <t>Có chức năng Emergency Broadcast</t>
  </si>
  <si>
    <t>1. Ghi nhận Emergency Alerts ban đầu 
2. Thực hiện 1 Emergency (Evacuation/Weather/Traffic) 
3. Quan sát lại</t>
  </si>
  <si>
    <t>Emergency Alerts tăng đúng +1
Không ảnh hưởng sai đến Total Today (trừ khi spec tính chung)</t>
  </si>
  <si>
    <t>PA 014</t>
  </si>
  <si>
    <t>Kiểm tra phân biệt broadcast thường vs emergency</t>
  </si>
  <si>
    <t>Có cả 2 loại</t>
  </si>
  <si>
    <t>1. Thực hiện 1 broadcast thường
2. Thực hiện 1 emergency 
3. Quan sát panel</t>
  </si>
  <si>
    <t>Total Today tăng theo tổng số lần phát
Emergency Alerts chỉ tăng với emergency
Không bị cộng nhầm</t>
  </si>
  <si>
    <t>PA 015</t>
  </si>
  <si>
    <t>Kiểm tra reset theo ngày</t>
  </si>
  <si>
    <t>Có dữ liệu từ ngày hôm trước</t>
  </si>
  <si>
    <t>1. Sang ngày mới (hoặc mock date) 
2. Mở Public Address</t>
  </si>
  <si>
    <t>Total Today reset về 0 
Emergency Alerts reset về 0
Last Broadcast có thể hiển thị gần nhất hoặc reset tùy spec nhưng không sai logic</t>
  </si>
  <si>
    <t>PA 016</t>
  </si>
  <si>
    <t>Kiểm tra realtime update</t>
  </si>
  <si>
    <t>Trang đang mở</t>
  </si>
  <si>
    <t>1. Mở sẵn Public Address 
2. Thực hiện broadcast 
3. Quan sát panel</t>
  </si>
  <si>
    <t xml:space="preserve">  Các chỉ số (Last Broadcast, Total Today…) cập nhật tự động   Không cần reload   Không bị delay quá lâu (&gt;5s)</t>
  </si>
  <si>
    <t>PA 017</t>
  </si>
  <si>
    <t>Kiểm tra nhiều broadcast liên tiếp</t>
  </si>
  <si>
    <t>Thực hiện nhiều action liên tục</t>
  </si>
  <si>
    <t>1. Thực hiện 3–5 broadcast liên tiếp 
2. Quan sát panel</t>
  </si>
  <si>
    <t xml:space="preserve">  Total Today tăng đúng số lần
 Last Broadcast luôn hiển thị lần gần nhất   Không bị skip hoặc sai số</t>
  </si>
  <si>
    <t>PA 018</t>
  </si>
  <si>
    <t>Kiểm tra format hiển thị</t>
  </si>
  <si>
    <t>Có dữ liệu</t>
  </si>
  <si>
    <t>1. Quan sát toàn bộ panel</t>
  </si>
  <si>
    <t xml:space="preserve">  Số hiển thị rõ ràng, không bị overflow UI
Màu sắc đúng (0 có thể màu xanh/đỏ theo design)
Text “Announcements”, “Today” hiển thị đúng</t>
  </si>
  <si>
    <t>PA AUDIO 001</t>
  </si>
  <si>
    <t>Audio Library –  Thư viện âm thanh</t>
  </si>
  <si>
    <t>PA 019</t>
  </si>
  <si>
    <t>Hiển thị danh sách Standard Tones</t>
  </si>
  <si>
    <t>Hệ thống đã có dữ liệu mặc định (Ring, Bigben, Oldphone, Sweet…)</t>
  </si>
  <si>
    <t>1.  Mở  Public Address
2. Tại panel Audio Library &gt; chọn tab Standard Tones
3. Quan sát danh sách hiển thị</t>
  </si>
  <si>
    <t xml:space="preserve">Hiển thị đầy đủ danh sách audio mặc định (Ring, Bigben, Oldphone, Sweet…)
 Mỗi item gồm: icon Play, tên audio, số slot (Slot 1, Slot 2…)
Thứ tự hiển thị đúng từ trên xuống theo cấu hình
 Không có item bị trùng hoặc thiếu </t>
  </si>
  <si>
    <t>PA 020</t>
  </si>
  <si>
    <t>Phát audio từ Standard Tones</t>
  </si>
  <si>
    <t>Hệ thống Online</t>
  </si>
  <si>
    <t>1. Chọn tab Standard Tones
2. Click icon Play tại 1 audio bất kỳ (VD: Ring)
3. Quan sát UI và âm thanh thực tế</t>
  </si>
  <si>
    <t xml:space="preserve"> Audio được phát ra loa tương ứng
Icon Play có thể chuyển sang trạng thái Pause/Loading
Không có audio khác phát đồng thời </t>
  </si>
  <si>
    <t>PA 021</t>
  </si>
  <si>
    <t>Dừng audio Standard đang phát</t>
  </si>
  <si>
    <t>Đang có 1 audio đang phát</t>
  </si>
  <si>
    <t>1. Click lại icon Play hoặc chọn audio khác
2. Quan sát</t>
  </si>
  <si>
    <t xml:space="preserve">Audio đang phát dừng ngay lập tức
Không còn âm thanh phát ra
Icon trở về trạng thái ban đầu </t>
  </si>
  <si>
    <t>PA 022</t>
  </si>
  <si>
    <t>Phát audio khác khi đang phát</t>
  </si>
  <si>
    <t>Đang phát 1 audio (VD: Ring)</t>
  </si>
  <si>
    <t>1. Play audio Ring
2. Ngay sau đó click Play audio Bigben
3. Quan sát</t>
  </si>
  <si>
    <t>Audio Ring dừng ngay
Audio Bigben bắt đầu phát
Không có hiện tượng chồng âm
UI cập nhật đúng trạng thái audio hiện tại</t>
  </si>
  <si>
    <t xml:space="preserve">Functional </t>
  </si>
  <si>
    <t>PA 023</t>
  </si>
  <si>
    <t>Click Play nhiều lần liên tục (Standard)</t>
  </si>
  <si>
    <t>1. Click liên tục icon Play trong 1–2 giây (5–10 lần) 2. Quan sát hệ thống</t>
  </si>
  <si>
    <t>Hệ thống chỉ xử lý 1 lần phát audio
 Không gửi nhiều request trùng lặp</t>
  </si>
  <si>
    <t>PA 024</t>
  </si>
  <si>
    <t>Phát audio khi hệ thống Offline</t>
  </si>
  <si>
    <t>Hệ thống đang Offline</t>
  </si>
  <si>
    <t>1. Click Play tại bất kỳ audio
2. Quan sát</t>
  </si>
  <si>
    <t xml:space="preserve">Không phát audio
Có thể hiển thị cảnh báo  </t>
  </si>
  <si>
    <t>PA 025</t>
  </si>
  <si>
    <t>Hiển thị danh sách Custom Audio</t>
  </si>
  <si>
    <t>Mở module Public Address</t>
  </si>
  <si>
    <t>1. Click tab Custom Audio
2. Quan sát danh sách slot</t>
  </si>
  <si>
    <t>Hiển thị danh sách slot (Custom Audio 1 → 5)
Mỗi slot có: tên slot, badge “Empty” nếu chưa có file
Có icon: Upload, Play, Delete
Hiển thị dung lượng còn lại =</t>
  </si>
  <si>
    <t>PA 026</t>
  </si>
  <si>
    <t>Upload file audio hợp lệ (.wav)</t>
  </si>
  <si>
    <t>Slot đang ở trạng thái Empty</t>
  </si>
  <si>
    <t>1. Click icon Upload tại slot
2. Chọn file .wav hợp lệ
3. Xác nhận upload
4. Quan sát sau khi upload</t>
  </si>
  <si>
    <t xml:space="preserve"> File upload thành công
Badge “Empty” biến mất
Hiển thị tên file hoặc trạng thái có file
Dung lượng free giảm tương ứng</t>
  </si>
  <si>
    <t>PA 027</t>
  </si>
  <si>
    <t>Upload file sai định dạng</t>
  </si>
  <si>
    <t>Slot Empty</t>
  </si>
  <si>
    <t>1. Click Upload
2. Chọn file không phải .wav (VD: .mp3, .png)
3. Quan sát</t>
  </si>
  <si>
    <t xml:space="preserve"> Hiển thị thông báo lỗi (Only .wav supported)  Không upload file 
Slot vẫn giữ trạng thái Empty</t>
  </si>
  <si>
    <t>Validation</t>
  </si>
  <si>
    <t>PA 028</t>
  </si>
  <si>
    <t>Upload khi vượt dung lượng</t>
  </si>
  <si>
    <t>Storage gần đầy hoặc đầy</t>
  </si>
  <si>
    <t>1. Upload file dung lượng lớn vượt mức cho phép 2. Quan sát</t>
  </si>
  <si>
    <t xml:space="preserve"> Hiển thị lỗi “Not enough storage” hoặc tương đương
Không upload thành công  Không làm treo UI</t>
  </si>
  <si>
    <t>PA 029</t>
  </si>
  <si>
    <t>Replace file audio</t>
  </si>
  <si>
    <t>Slot đã có file audio</t>
  </si>
  <si>
    <t>1. Click Upload tại slot đã có file
2. Chọn file mới
3. Xác nhận
4. Play lại slot</t>
  </si>
  <si>
    <t xml:space="preserve"> File cũ bị ghi đè
 File mới hiển thị đúng 
Khi Play phát đúng nội dung file mới</t>
  </si>
  <si>
    <t>PA 030</t>
  </si>
  <si>
    <t>Play custom audio</t>
  </si>
  <si>
    <t>Slot có file hợp lệ</t>
  </si>
  <si>
    <t>1. Click icon Play tại slot đã upload
 2. Quan sát</t>
  </si>
  <si>
    <t xml:space="preserve"> Audio được phát đúng file đã upload  Không phát chồng với audio khác  UI phản hồi đúng trạng thái</t>
  </si>
  <si>
    <t>PA 031</t>
  </si>
  <si>
    <t>Play khi slot Empty</t>
  </si>
  <si>
    <t>Slot chưa upload file</t>
  </si>
  <si>
    <t>1. Click Play tại slot Empty
2. Quan sát</t>
  </si>
  <si>
    <t xml:space="preserve"> Không phát audio  Button có thể bị disable hoặc hiển thị cảnh báo  Không gây lỗi UI</t>
  </si>
  <si>
    <t>PA 032</t>
  </si>
  <si>
    <t>Delete custom audio</t>
  </si>
  <si>
    <t>Slot có file</t>
  </si>
  <si>
    <t>1. Click icon Delete
2. Confirm trong popup
 3. Quan sát</t>
  </si>
  <si>
    <t xml:space="preserve"> File bị xóa khỏi slot  Slot trở về trạng thái “Empty”  Không thể play lại file cũ</t>
  </si>
  <si>
    <t>PA 034</t>
  </si>
  <si>
    <t>Phát audio khác khi đang phát (Custom)</t>
  </si>
  <si>
    <t>Đang phát slot A</t>
  </si>
  <si>
    <t>1. Play slot A
2. Play slot B
3. Quan sát</t>
  </si>
  <si>
    <t xml:space="preserve"> Slot A dừng  Slot B phát  Không chồng audio</t>
  </si>
  <si>
    <t>PA 035</t>
  </si>
  <si>
    <t>Click Play nhiều lần (Custom)</t>
  </si>
  <si>
    <t>1. Click Play nhiều lần nhanh
 2. Quan sát</t>
  </si>
  <si>
    <t>Chỉ 1 lần phát được xử lý 
Không tạo nhiều request, không lag</t>
  </si>
  <si>
    <t>PA 036</t>
  </si>
  <si>
    <t>Thao tác Custom Audio khi Offline</t>
  </si>
  <si>
    <t>1. Thử Upload / Play / Delete
2. Quan sát</t>
  </si>
  <si>
    <t xml:space="preserve"> Tất cả action không thực hiện  Button có thể disable , không crash</t>
  </si>
  <si>
    <t>PA 037</t>
  </si>
  <si>
    <t>Chuyển tab Standard ↔ Custom</t>
  </si>
  <si>
    <t xml:space="preserve"> </t>
  </si>
  <si>
    <t>1. Click qua lại giữa 2 tab nhiều lần
 2. Quan sát</t>
  </si>
  <si>
    <t xml:space="preserve"> Tab active highlight đúng  Nội dung thay đổi tương ứng  Không load sai dữ liệu</t>
  </si>
  <si>
    <t>PA 038</t>
  </si>
  <si>
    <t>Scroll danh sách audio</t>
  </si>
  <si>
    <t>Có nhiều item</t>
  </si>
  <si>
    <t>1. Scroll danh sách
2. Quan sát</t>
  </si>
  <si>
    <t xml:space="preserve"> Scroll mượt  Không giật lag  Không mất item</t>
  </si>
  <si>
    <t>PA 039</t>
  </si>
  <si>
    <t>Hiển thị icon chức năng</t>
  </si>
  <si>
    <t>1. Quan sát các icon Upload, Play, Delete</t>
  </si>
  <si>
    <t xml:space="preserve"> Icon hiển thị rõ ràng, đúng vị trí  Không bị lệch hoặc chồng</t>
  </si>
  <si>
    <t>PA 040</t>
  </si>
  <si>
    <t>Hiển thị dung lượng storage</t>
  </si>
  <si>
    <t>Có upload file</t>
  </si>
  <si>
    <t>1. Upload 1 file
2. Quan sát dung lượng</t>
  </si>
  <si>
    <t xml:space="preserve"> Dung lượng giảm đúng với file upload  Không hiển thị sai</t>
  </si>
  <si>
    <t>PA 041</t>
  </si>
  <si>
    <t>Hiển thị trạng thái Empty</t>
  </si>
  <si>
    <t>Slot chưa có file</t>
  </si>
  <si>
    <t>1. Quan sát slot trống</t>
  </si>
  <si>
    <t xml:space="preserve"> Hiển thị badge “Empty” rõ ràng  Không gây hiểu nhầm là có file</t>
  </si>
  <si>
    <t>PA URL 001</t>
  </si>
  <si>
    <t>URL Audio Stream – Luông âm thanh URL</t>
  </si>
  <si>
    <t>PA 042</t>
  </si>
  <si>
    <t>Stream audio trực tiếp từ URL</t>
  </si>
  <si>
    <t>Enable ON; Target Device Online; có URL stream hợp lệ (MP3/WAV…)</t>
  </si>
  <si>
    <t>1. Mở card “URL Audio Stream”.
2. Nhập URL audio hợp lệ.
3. Click nút “ Play Stream”.
4. Quan sát loa và panel Playing Audio.</t>
  </si>
  <si>
    <t>Âm thanh từ URL phát trên loa.
Panel Playing Audio hiển thị trạng thái đang stream từ URL.
Nút Stream đổi trạng thái phù hợp (ví dụ Disable / đổi label).</t>
  </si>
  <si>
    <t>PA 043</t>
  </si>
  <si>
    <t>Dừng stream đang chạy</t>
  </si>
  <si>
    <t>Đang stream audio từ URL</t>
  </si>
  <si>
    <t>1. Click nút “Stop” trong card URL Stream.
2. Quan sát loa và Playing Audio.</t>
  </si>
  <si>
    <t>Âm thanh dừng ngay.
Panel Playing Audio không còn hiển thị đang stream.
Các nút trở về trạng thái ban đầu.</t>
  </si>
  <si>
    <t>PA 044</t>
  </si>
  <si>
    <t>Nhập URL sai định dạng hoặc rỗng</t>
  </si>
  <si>
    <t>Enable ON</t>
  </si>
  <si>
    <t>1. Để trống ô URL HOẶC nhập chuỗi không phải URL.
2. Click Stream.</t>
  </si>
  <si>
    <t>Hệ thống hiển thị validation error rõ ràng.
Không gửi request phát thanh.
Không crash trang.</t>
  </si>
  <si>
    <t>PA 045</t>
  </si>
  <si>
    <t>Xử lý khi URL không truy cập được hoặc format không hỗ trợ</t>
  </si>
  <si>
    <t>URL trỏ tới server không tồn tại hoặc file format không hỗ trợ</t>
  </si>
  <si>
    <t>1. Nhập URL không tồn tại / format lạ.
2. Click Stream.</t>
  </si>
  <si>
    <t>Hệ thống báo lỗi 'Cannot stream audio' hoặc tương tự.
Không treo trang.
Có log lỗi.</t>
  </si>
  <si>
    <t>PA 046</t>
  </si>
  <si>
    <t>Bắt đầu stream URL khi đang phát Audio Library hoặc broadcast thường</t>
  </si>
  <si>
    <t>Đang phát âm thanh từ Audio Library hoặc PA System Control</t>
  </si>
  <si>
    <t>1. Khi audio khác đang phát, nhập URL hợp lệ.
2. Click Stream.
3. Quan sát loa và Playing Audio.</t>
  </si>
  <si>
    <t>Nguồn audio trước đó dừng.
Chỉ còn audio từ URL được phát.
Panel Playing Audio ghi nhận đúng nguồn hiện tại.
Không phát chồng nhiều nguồn.</t>
  </si>
  <si>
    <t>PA 047</t>
  </si>
  <si>
    <t>Hiển thị thông tin 'Playing audio from slot X'</t>
  </si>
  <si>
    <t>Đang phát audio từ 1 slot trong Audio Library</t>
  </si>
  <si>
    <t>1. Start Play từ Slot 1.
2. Quan sát panel Playing Audio ở góc dưới.</t>
  </si>
  <si>
    <t>Panel hiển thị 'Playing Audio' và dòng chi tiết 'Playing audio from slot 1' (hoặc tên file tương ứng).
Thông tin trùng với slot đang phát.</t>
  </si>
  <si>
    <t>PA 048</t>
  </si>
  <si>
    <t>Hiển thị trạng thái khi stream từ URL</t>
  </si>
  <si>
    <t>Đang stream audio từ URL hợp lệ</t>
  </si>
  <si>
    <t>1. Bắt đầu stream từ URL.
2. Quan sát panel Playing Audio.</t>
  </si>
  <si>
    <t>Panel cho biết đang stream từ URL (ví dụ 'Streaming from URL: &lt;hostname&gt;').
Không còn hiển thị thông tin slot.</t>
  </si>
  <si>
    <t>PA 049</t>
  </si>
  <si>
    <t>Cập nhật panel khi dừng mọi audio</t>
  </si>
  <si>
    <t>Đang phát âm thanh từ bất kỳ nguồn nào</t>
  </si>
  <si>
    <t>1. Dừng phát (Stop trong PA System / Audio Library / URL Stream).
2. Quan sát panel Playing Audio.</t>
  </si>
  <si>
    <t>Panel không còn hiển thị nội dung 'Playing audio…'.
Trạng thái trở về Idle hoặc ẩn panel theo thiết kế.
Không hiển thị thông tin sai.</t>
  </si>
  <si>
    <t>PA SIP 001</t>
  </si>
  <si>
    <t xml:space="preserve">SIP Phone Call – Gọi điện thoại SIP </t>
  </si>
  <si>
    <t>PA 050</t>
  </si>
  <si>
    <t>Thực hiện cuộc gọi tới số SIP hợp lệ</t>
  </si>
  <si>
    <t>Hệ thống đã cấu hình SIP server; user có quyền thực hiện cuộc gọi; có IP phone đích hoạt động</t>
  </si>
  <si>
    <t>1. Mở card “SIP Phone Call”.
2. Nhập số SIP hợp lệ vào ô 'Enter SIP number…'.
3. Click nút 'Make Call'.</t>
  </si>
  <si>
    <t>Hệ thống khởi tạo cuộc gọi SIP.
Trên UI thể hiện trạng thái đang gọi (Calling/In call).
IP phone đích nhận được cuộc gọi.</t>
  </si>
  <si>
    <t>PA 051</t>
  </si>
  <si>
    <t>Nhập số SIP sai định dạng hoặc để trống</t>
  </si>
  <si>
    <t>User có quyền gọi; SIP server đang hoạt động</t>
  </si>
  <si>
    <t>1. Để trống field SIP number HOẶC nhập chuỗi không hợp lệ.
2. Click Make Call.</t>
  </si>
  <si>
    <t>Hệ thống hiển thị thông báo lỗi/validation.
Không gửi request gọi ra SIP server.
Không crash UI.</t>
  </si>
  <si>
    <t>PA 052</t>
  </si>
  <si>
    <t>Xử lý tình huống SIP bên kia không trả lời</t>
  </si>
  <si>
    <t>SIP server hoạt động; IP phone đích cấu hình trạng thái Busy/No answer mô phỏng</t>
  </si>
  <si>
    <t>1. Nhập số SIP của thiết bị bận/không nghe.
2. Click Make Call.
3. Chờ phản hồi.</t>
  </si>
  <si>
    <t>Sau một khoảng timeout, hệ thống hiển thị kết quả (Busy/No answer).
Cuộc gọi tự kết thúc.
Không giữ trạng thái 'Đang gọi' vô hạn.</t>
  </si>
  <si>
    <t>PA 053</t>
  </si>
  <si>
    <t>User chủ động kết thúc cuộc gọi đang diễn ra</t>
  </si>
  <si>
    <t>Đang ở trạng thái In call đối với một số SIP</t>
  </si>
  <si>
    <t>1. Trong khi cuộc gọi đang diễn ra, click nút End Call/Hang up (nếu có).
2. Quan sát trạng thái trên UI và IP phone.</t>
  </si>
  <si>
    <t>Cuộc gọi kết thúc ngay.
Trạng thái trên UI về Idle.
Không còn gửi media tới SIP server.</t>
  </si>
  <si>
    <t>PA 054</t>
  </si>
  <si>
    <t>Kiểm tra khả năng đàm thoại 2 chiều</t>
  </si>
  <si>
    <t>Đang có cuộc gọi SIP giữa PA hệ thống và IP phone</t>
  </si>
  <si>
    <t>1. Trong khi call, nói từ phía PA.
2. Kiểm tra nghe được trên IP phone.
3. Nói từ IP phone, kiểm tra loa PA.</t>
  </si>
  <si>
    <t>Âm thanh truyền hai chiều rõ ràng, không méo tiếng trong điều kiện mạng bình thường.
Volume có thể điều chỉnh nếu hỗ trợ.</t>
  </si>
  <si>
    <t>PA HIST 001</t>
  </si>
  <si>
    <t xml:space="preserve">Broadcast History – Lịch sử phát thanh </t>
  </si>
  <si>
    <t>PA 055</t>
  </si>
  <si>
    <t>Kiểm tra hiển thị giao diện Broadcast History</t>
  </si>
  <si>
    <t>Người dùng có quyền vào Public  address</t>
  </si>
  <si>
    <t>1. Truy cập màn hình Broadcast History</t>
  </si>
  <si>
    <t>Hiển thị đúng tiêu đề “Broadcast History”.
Hiển thị mô tả 
Hiển thị đầy đủ các cột: Date, Time, Type, Status.
Hiển thị bộ lọc ngày
Không lỗi UI, không lệch layout.</t>
  </si>
  <si>
    <t>PA 056</t>
  </si>
  <si>
    <t>Kiểm tra trạng thái không có dữ liệu (Empty State)</t>
  </si>
  <si>
    <t>Không có cuộc gọi nào trong hệ thống.</t>
  </si>
  <si>
    <t>Hiển thị thông báo “No call history found.”
Không hiển thị dữ liệu rác.
Không lỗi giao diện.</t>
  </si>
  <si>
    <t>PA 057</t>
  </si>
  <si>
    <t>Hiển thị dữ liệu khi có broadcast log</t>
  </si>
  <si>
    <t>Hệ thống đã phát ít nhất 1 lần (Audio Library / URL Stream / SIP) và backend đã lưu log</t>
  </si>
  <si>
    <t>1. Truy cập màn hình Broadcast History
2. Thực hiện 1 hành động phát (ví dụ: Play audio từ Audio Library)
3. Scroll xuống panel Broadcast History 
4. Quan sát bảng hiển thị</t>
  </si>
  <si>
    <t>Bảng Broadcast History hiển thị ít nhất 1 record mới tương ứng với hành động vừa thực hiện 
Record mới nằm ở vị trí đầu danh sách (nếu sort theo thời gian giảm dần)
Không bị lệch cột hoặc mất dữ liệu</t>
  </si>
  <si>
    <t>PA 058</t>
  </si>
  <si>
    <t>Kiểm tra dữ liệu record hiển thị chính xác</t>
  </si>
  <si>
    <t>Có ít nhất 1 log đã được tạo</t>
  </si>
  <si>
    <t>1. Thực hiện 1 action phát (ghi nhớ thời điểm thực hiện)
2. Mở Broadcast History 
3. So sánh dữ liệu hiển thị với thời điểm thực tế</t>
  </si>
  <si>
    <t xml:space="preserve">Cột Date hiển thị đúng ngày thực hiện (đúng timezone hệ thống)
Cột Time hiển thị đúng giờ (sai lệch tối đa ±1–2 giây nếu realtime)
Cột Type hiển thị đúng loại action (Audio Library / URL Stream / SIP Call…)
Cột Status hiển thị đúng trạng thái (Success/Stopped/Failed…) </t>
  </si>
  <si>
    <t>PA 059</t>
  </si>
  <si>
    <t>Kiểm tra cập nhật realtime sau khi phát</t>
  </si>
  <si>
    <t>Trang đang mở sẵn tại module Public Address</t>
  </si>
  <si>
    <t>1. Mở sẵn Broadcast History 
2. Thực hiện Play audio hoặc Stream URL 
3. Không refresh trang, quan sát bảng trong 3–5 giây</t>
  </si>
  <si>
    <t>Record mới tự động xuất hiện trong bảng sau khi action hoàn thành
Không cần reload trang
Không tạo duplicate record
UI không bị flicker hoặc reload toàn bộ</t>
  </si>
  <si>
    <t>PA 060</t>
  </si>
  <si>
    <t>Kiểm tra empty state khi không có dữ liệu</t>
  </si>
  <si>
    <t>Hệ thống chưa có log nào hoặc filter ra rỗng</t>
  </si>
  <si>
    <t>1. Mở Broadcast History khi không có dữ liệu hoặc 
2. Chọn filter ngày không có log</t>
  </si>
  <si>
    <t xml:space="preserve">
Hiển thị icon minh họa + text “No data” ở giữa bảng
Không hiển thị table rỗng với dòng trắng gây hiểu nhầm   </t>
  </si>
  <si>
    <t>PA 061</t>
  </si>
  <si>
    <t>Kiểm tra filter theo ngày (Start – End)</t>
  </si>
  <si>
    <t>Có nhiều log ở các ngày khác nhau</t>
  </si>
  <si>
    <t>1. Click chọn Start date 
2. Chọn End date lớn hơn Start date 
3. Áp dụng filter 
4. Quan sát bảng</t>
  </si>
  <si>
    <t>Chỉ hiển thị các record nằm trong khoảng thời gian đã chọn (bao gồm cả ngày bắt đầu và kết thúc nếu spec có) 
Không hiển thị record ngoài khoảng
Nếu không có dữ liệu → hiển thị empty state đúng
Không bị load sai hoặc trùng dữ liệu</t>
  </si>
  <si>
    <t>PA 062</t>
  </si>
  <si>
    <t>Kiểm tra filter với khoảng ngày không hợp lệ</t>
  </si>
  <si>
    <t>Không có</t>
  </si>
  <si>
    <t>1. Chọn End date nhỏ hơn Start date 
2. Quan sát hệ thống</t>
  </si>
  <si>
    <t xml:space="preserve">
Hệ thống không cho chọn hoặc tự động reset giá trị hoặc hiển thị thông báo lỗi rõ ràng
Không thực hiện query sai</t>
  </si>
  <si>
    <t>PA 063</t>
  </si>
  <si>
    <t>Kiểm tra phân trang (pagination)</t>
  </si>
  <si>
    <t>Có số lượng log lớn hơn 1 trang (≥6 record)</t>
  </si>
  <si>
    <t>1. Mở Broadcast History 
2. Click nút Next để sang trang tiếp theo 
3. Click Previous để quay lại 
4. Quan sát dữ liệu mỗi trang</t>
  </si>
  <si>
    <t>Dữ liệu được chia đúng theo số lượng record mỗi trang 
Trang sau hiển thị đúng record tiếp theo, không bị lặp lại dữ liệu của trang trước
Khi quay lại trang trước, dữ liệu giữ nguyên
Không mất record hoặc hiển thị sai thứ tự</t>
  </si>
  <si>
    <t>PA 064</t>
  </si>
  <si>
    <t>Kiểm tra trạng thái disable của pagination</t>
  </si>
  <si>
    <t>Có ít dữ liệu hoặc đang ở trang đầu/cuối</t>
  </si>
  <si>
    <t>1. Mở Broadcast History 
2. Quan sát nút Previous và Next</t>
  </si>
  <si>
    <t>Nút Previous bị disable khi đang ở trang đầu tiên
Nút Next bị disable khi đang ở trang cuối cùng
Không cho click khi đã disable</t>
  </si>
  <si>
    <t>PA 065</t>
  </si>
  <si>
    <t>Kiểm tra scroll bảng dữ liệu</t>
  </si>
  <si>
    <t>Có nhiều record trong bảng</t>
  </si>
  <si>
    <t>1. Scroll bảng Broadcast History lên/xuống 
2. Quan sát</t>
  </si>
  <si>
    <t>Scroll hoạt động mượt, không bị giật lag
Header (Date, Time, Type, Status) vẫn hiển thị rõ ràng
Không bị mất dữ liệu khi scroll</t>
  </si>
  <si>
    <t>PA 066</t>
  </si>
  <si>
    <t>Kiểm tra hiển thị Type</t>
  </si>
  <si>
    <t>Có nhiều loại action khác nhau</t>
  </si>
  <si>
    <t>1. Thực hiện lần lượt: Play audio, Stream URL, SIP Call 
2. Mở Broadcast History</t>
  </si>
  <si>
    <t>Type hiển thị đúng theo từng hành động (Audio / Stream / Call…)
Không bị nhầm lẫn giữa các loại
Không hiển thị sai mapping</t>
  </si>
  <si>
    <t>PA 067</t>
  </si>
  <si>
    <t>Kiểm tra hiển thị Status</t>
  </si>
  <si>
    <t>Có nhiều trạng thái khác nhau</t>
  </si>
  <si>
    <t>1. Thực hiện các action: thành công, stop giữa chừng, lỗi (nếu có thể simulate) 
2. Mở Broadcast History</t>
  </si>
  <si>
    <t>Status hiển thị đúng: Success / Failed / Stopped…
Không bị hiển thị sai trạng thái
Không hiển thị chung 1 trạng thái cho tất cả record</t>
  </si>
  <si>
    <t>PA 068</t>
  </si>
  <si>
    <t>Kiểm tra format Date/Time</t>
  </si>
  <si>
    <t>1. Quan sát cột Date và Time</t>
  </si>
  <si>
    <t>Date hiển thị đúng format theo thiết kế (VD: dd/MM/yyyy)
Time hiển thị đúng format (HH:mm:ss)
Không bị lệch timezone
Không hiển thị sai định dạng</t>
  </si>
  <si>
    <t>PA 069</t>
  </si>
  <si>
    <t>Kiểm tra nhiều record liên tục</t>
  </si>
  <si>
    <t>Thực hiện nhiều action liên tiếp</t>
  </si>
  <si>
    <t>1. Play audio liên tục 3–5 lần 
2. Mở Broadcast History</t>
  </si>
  <si>
    <t>Mỗi action tạo ra 1 record riêng biệ
Không bị gộp record 
Không bị thiếu hoặc duplicate record</t>
  </si>
  <si>
    <t>PA 070</t>
  </si>
  <si>
    <t>Kiểm tra load lại dữ liệu sau reload</t>
  </si>
  <si>
    <t>Có dữ liệu trong hệ thống</t>
  </si>
  <si>
    <t>1. Reload trình duyệt 
2. Mở lại Broadcast History</t>
  </si>
  <si>
    <t>Dữ liệu được load lại đúng từ backend
Không bị mất log trước đó
Không hiển thị sai thứ tự</t>
  </si>
  <si>
    <t>PA ROLE 001</t>
  </si>
  <si>
    <t>Phân quyền – Viewer (chỉ xem)</t>
  </si>
  <si>
    <t>PA 071</t>
  </si>
  <si>
    <t>Viewer chỉ được xem trạng thái phát thanh, không điều khiển</t>
  </si>
  <si>
    <t>Tạo user role Viewer; gán quyền chỉ xem module Public Address</t>
  </si>
  <si>
    <t>1. Đăng nhập bằng Viewer.
2. Mở Public Address.
3. Quan sát các control (Enable, Start/Stop, Emergency, Audio Library, URL Stream, SIP Call).</t>
  </si>
  <si>
    <t>Tất cả nút điều khiển bị disable hoặc ẩn (Start/Stop, Emergency, Play, Stream, Make Call…).
Viewer chỉ xem được trạng thái và lịch sử.
Không thể phát thanh.</t>
  </si>
  <si>
    <t>Phân quyền – Operator (phát thanh thường)</t>
  </si>
  <si>
    <t>PA 072</t>
  </si>
  <si>
    <t>Operator được phát thanh thường, không bật emergency/SIP</t>
  </si>
  <si>
    <t>Tạo user role Operator; cấu hình chỉ cho phép broadcast thường &amp; audio library</t>
  </si>
  <si>
    <t>1. Đăng nhập bằng Operator.
2. Thử Start broadcast thường, Play slot Audio Library.
3. Thử click Emergency và SIP Make Call.</t>
  </si>
  <si>
    <t>Operator thực hiện được broadcast thường &amp; sử dụng Audio Library.
Các nút Emergency &amp; SIP Call bị disable hoặc báo không đủ quyền.</t>
  </si>
  <si>
    <t>Phân quyền – Supervisor/Manager (bao gồm emergency)</t>
  </si>
  <si>
    <t>PA 073</t>
  </si>
  <si>
    <t>Supervisor được phép kích hoạt Emergency Broadcast</t>
  </si>
  <si>
    <t>Tạo user role Supervisor/Manager</t>
  </si>
  <si>
    <t>1. Đăng nhập bằng Supervisor.
2. Thử Start broadcast thường.
3. Thử click Emergency Evacuation.</t>
  </si>
  <si>
    <t>Supervisor thực hiện được cả broadcast thường lẫn emergency.
Không được sửa cấu hình hệ thống (nếu có trang config riêng).</t>
  </si>
  <si>
    <t>Phân quyền – Admin (toàn quyền)</t>
  </si>
  <si>
    <t>PA 074</t>
  </si>
  <si>
    <t>Admin có toàn quyền với Public Address</t>
  </si>
  <si>
    <t>User role Admin; hệ thống có đầy đủ tính năng</t>
  </si>
  <si>
    <t>1. Đăng nhập Admin.
2. Thực hiện tất cả thao tác: chọn Device, PA Control, Emergency, Audio Library, URL Stream, SIP Call, xem History.
3. Quan sát.</t>
  </si>
  <si>
    <t>Admin thao tác được toàn bộ chức năng không bị chặn quyền.
Không gặp lỗi permission.</t>
  </si>
  <si>
    <t>Phân quyền – Truy cập trực tiếp URL cấu hình</t>
  </si>
  <si>
    <t>PA 075</t>
  </si>
  <si>
    <t>Ngăn user không đủ quyền truy cập URL điều khiển Public Address</t>
  </si>
  <si>
    <t>User Viewer/Operator; biết URL API/UI điều khiển Public Address</t>
  </si>
  <si>
    <t>1. Copy URL của trang Public Address hoặc API điều khiển.
2. Đăng nhập bằng Viewer hoặc user không quyền.
3. Dán URL vào trình duyệt.</t>
  </si>
  <si>
    <t>Hệ thống trả về thông báo lỗi quyền hạn hoặc redirect về dashboard.
Không cho phép thực thi lệnh phát thanh qua URL trực tiếp.</t>
  </si>
  <si>
    <t>Energy</t>
  </si>
  <si>
    <t>EN-UI-001</t>
  </si>
  <si>
    <t>Giao diện &amp; điều hướng module Green Energy</t>
  </si>
  <si>
    <t>EN-001</t>
  </si>
  <si>
    <t>Mở module Green Energy từ sidebar</t>
  </si>
  <si>
    <t>User đã đăng nhập, có quyền xem Energy/Green Energy</t>
  </si>
  <si>
    <t>1. Đăng nhập Smart Pole Control.
2. Click menu “Green Energy” trên sidebar.</t>
  </si>
  <si>
    <t>Trang Green Energy hiển thị.
Banner module hiển thị 'Green Energy' với địa chỉ site.
Menu Green Energy được highlight.
Không lỗi JavaScript.</t>
  </si>
  <si>
    <t>EN-002</t>
  </si>
  <si>
    <t>Kiểm tra banner &amp; trạng thái System Online</t>
  </si>
  <si>
    <t>Như TC EN-001; hệ thống có trạng thái online/offline</t>
  </si>
  <si>
    <t>1. Mở trang Green Energy.
2. Quan sát banner màu xanh và badge System Online/Offline.</t>
  </si>
  <si>
    <t>Banner hiển thị đúng tên.
Badge trạng thái hiển thị đúng text &amp; màu (Online = xanh, Offline = xám/đỏ).</t>
  </si>
  <si>
    <t>Feature</t>
  </si>
  <si>
    <t>EN-SOLAR-001</t>
  </si>
  <si>
    <t>Solar Generation – Bật/Tắt nguồn năng lượng mặt trời</t>
  </si>
  <si>
    <t>EN-010</t>
  </si>
  <si>
    <t>Bật / Tắt Solar Generation bằng toggle Enable</t>
  </si>
  <si>
    <t>Thiết bị/nguồn solar đã cấu hình; hệ thống có nhận dữ liệu</t>
  </si>
  <si>
    <t>1. Mở card “Solar Generation”.
2. Bật toggle Enable.
3. Quan sát giá trị Current Output/Efficiency.
4. Tắt toggle Enable.</t>
  </si>
  <si>
    <t>Khi Enable ON: card hoạt động, thanh công suất hiển thị giá trị hiện tại (ví dụ 245W), Efficiency và Daily Generation cập nhật.
Khi Enable OFF: card chuyển sang trạng thái disabled (mờ/xám), không cập nhật giá trị mới, không gửi lệnh điều khiển.</t>
  </si>
  <si>
    <t>Solar Generation – Hiển thị Current Output</t>
  </si>
  <si>
    <t>EN-011</t>
  </si>
  <si>
    <t>Kiểm tra giá trị Current Output và đơn vị</t>
  </si>
  <si>
    <t>Solar Enable ON; solar đang tạo ra công suất</t>
  </si>
  <si>
    <t>1. Mở card Solar Generation.
2. Quan sát trường “Current Output”.</t>
  </si>
  <si>
    <t>Giá trị hiển thị đúng đơn vị W hoặc kW theo cấu hình (ví dụ 245W).
Số liệu khớp với giá trị từ backend/DB cho cùng thời điểm.</t>
  </si>
  <si>
    <t>Solar Generation – Efficiency &amp; Daily Generation</t>
  </si>
  <si>
    <t>EN-012</t>
  </si>
  <si>
    <t>Kiểm tra hiển thị Efficiency (%) &amp; Daily Generation (kWh)</t>
  </si>
  <si>
    <t>Solar Enable ON; có dữ liệu tổng ngày</t>
  </si>
  <si>
    <t>1. Mở card Solar Generation.
2. Quan sát Efficiency (%) và Daily Generation (kWh).</t>
  </si>
  <si>
    <t>Efficiency hiển thị % (ví dụ 92%).
Daily Generation hiển thị kWh (ví dụ 4.2 kWh).
Các giá trị khớp với tính toán hệ thống.</t>
  </si>
  <si>
    <t>Solar Generation – Không có dữ liệu solar</t>
  </si>
  <si>
    <t>EN-013</t>
  </si>
  <si>
    <t>Trường hợp mất nguồn dữ liệu solar</t>
  </si>
  <si>
    <t>Thiết bị solar không gửi dữ liệu hoặc mất kết nối</t>
  </si>
  <si>
    <t>1. Mở card Solar Generation khi thiết bị không gửi dữ liệu.
2. Quan sát UI.</t>
  </si>
  <si>
    <t>Card hiển thị trạng thái 'No data' hoặc giá trị 0 theo thiết kế.
Không hiển thị số liệu rác.
Có thể có icon warning nhỏ nếu mất kết nối.</t>
  </si>
  <si>
    <t>Solar Generation – Thay đổi theo thời gian</t>
  </si>
  <si>
    <t>EN-014</t>
  </si>
  <si>
    <t>Kiểm tra cập nhật real-time của Current Output</t>
  </si>
  <si>
    <t>Solar Enable ON; có thay đổi công suất trong vài phút</t>
  </si>
  <si>
    <t>1. Đứng tại màn hình Solar Generation.
2. Theo dõi Current Output trong vài chu kỳ refresh.</t>
  </si>
  <si>
    <t>Giá trị Current Output được cập nhật định kỳ theo chu kỳ refresh.
Không bị giật mạnh bất thường trừ khi dữ liệu thực thay đổi.</t>
  </si>
  <si>
    <t>Performance/Realtime</t>
  </si>
  <si>
    <t>EN-BATT-001</t>
  </si>
  <si>
    <t>Battery Management – Hiển thị mức sạc</t>
  </si>
  <si>
    <t>EN-020</t>
  </si>
  <si>
    <t>Kiểm tra Charge Level (%) và thanh progress</t>
  </si>
  <si>
    <t>Hệ thống có kết nối bộ lưu trữ/battery; dữ liệu charge level hợp lệ</t>
  </si>
  <si>
    <t>1. Mở card “Battery Management”.
2. Quan sát số % Charge Level và thanh progress.</t>
  </si>
  <si>
    <t>Charge Level hiển thị đúng phần trăm (ví dụ 85%).
Thanh progress đầy tương ứng với %.
Màu sắc đúng theo ngưỡng (ví dụ xanh khi &gt; 20%, đỏ khi thấp).</t>
  </si>
  <si>
    <t>Battery Management – Capacity &amp; Time Remaining</t>
  </si>
  <si>
    <t>EN-021</t>
  </si>
  <si>
    <t>Hiển thị Capacity và Time Remaining</t>
  </si>
  <si>
    <t>Battery có thông tin dung lượng và thời gian ước tính</t>
  </si>
  <si>
    <t>1. Mở card Battery Management.
2. Quan sát Capacity (Wh) và Time Remaining.</t>
  </si>
  <si>
    <t>Capacity hiển thị đúng đơn vị (ví dụ 2000 Wh).
Time Remaining hiển thị định dạng rõ ràng (ví dụ 11h 15m).
Giá trị khớp với dữ liệu backend.</t>
  </si>
  <si>
    <t>Battery Management – Bật/Tắt card Battery</t>
  </si>
  <si>
    <t>EN-022</t>
  </si>
  <si>
    <t>Control on/off Battery Management (nếu có toggle)</t>
  </si>
  <si>
    <t>Battery card có toggle trạng thái ở góc phải (chấm xanh/toggle)</t>
  </si>
  <si>
    <t>1. Quan sát trạng thái card (Online dot xanh).
2. Tắt card (nếu có toggle/Enable).
3. Bật lại.</t>
  </si>
  <si>
    <t>Khi Off: card chuyển sang trạng thái không hoạt động (mờ/xám), không cập nhật số liệu.
Khi On: card trở lại bình thường, số liệu cập nhật lại.
Không ảnh hưởng tới các card khác.</t>
  </si>
  <si>
    <t>Battery Management – Cảnh báo mức pin thấp</t>
  </si>
  <si>
    <t>EN-023</t>
  </si>
  <si>
    <t>Hiển thị cảnh báo khi Charge Level thấp hơn ngưỡng</t>
  </si>
  <si>
    <t>Backend cấu hình ngưỡng cảnh báo (ví dụ &lt; 20%) và có dữ liệu Level thấp</t>
  </si>
  <si>
    <t>1. Mô phỏng/thiết lập Charge Level &lt; ngưỡng.
2. Mở card Battery Management.</t>
  </si>
  <si>
    <t>UI hiển thị trạng thái cảnh báo (màu khác, icon cảnh báo, hoặc text 'Low Battery').
Người dùng dễ nhận biết.</t>
  </si>
  <si>
    <t>Feature/Alert</t>
  </si>
  <si>
    <t>Battery Management – Không có dữ liệu battery</t>
  </si>
  <si>
    <t>EN-024</t>
  </si>
  <si>
    <t>Trường hợp không có dữ liệu battery</t>
  </si>
  <si>
    <t>Kết nối với battery bị mất hoặc thiết bị chưa cấu hình</t>
  </si>
  <si>
    <t>1. Mở card Battery Management khi không có dữ liệu.
2. Quan sát UI.</t>
  </si>
  <si>
    <t>Card hiển thị 'No data' hoặc tương tự.
Không crash trang.
Không hiển thị số liệu random.</t>
  </si>
  <si>
    <t>EN-LOAD-001</t>
  </si>
  <si>
    <t>Power Consumption – Hiển thị Current Load</t>
  </si>
  <si>
    <t>EN-030</t>
  </si>
  <si>
    <t>Kiểm tra giá trị Current Load tổng</t>
  </si>
  <si>
    <t>Đã cấu hình đo công suất tiêu thụ; có dữ liệu hiện tại</t>
  </si>
  <si>
    <t>1. Mở card “Power Consumption”.
2. Quan sát giá trị “Current Load”.</t>
  </si>
  <si>
    <t>Giá trị Current Load hiển thị đúng đơn vị W/kW (ví dụ 178W, màu đỏ).
Khớp với số liệu backend thời điểm hiện tại.</t>
  </si>
  <si>
    <t>Power Consumption – Breakdown theo nhóm tải</t>
  </si>
  <si>
    <t>EN-031</t>
  </si>
  <si>
    <t>Kiểm tra Lighting/Computing/Communications/Other</t>
  </si>
  <si>
    <t>Có cấu hình phân loại tải; dữ liệu chi tiết tồn tại</t>
  </si>
  <si>
    <t>1. Mở card Power Consumption.
2. Quan sát danh sách Lighting, Computing, Communications, Other.</t>
  </si>
  <si>
    <t>Mỗi nhóm hiển thị công suất (W) và % so với tổng (ví dụ 75W (42%)).
Tổng % xấp xỉ 100% (sai số nhỏ do làm tròn).</t>
  </si>
  <si>
    <t>Power Consumption – Bật/Tắt card Load</t>
  </si>
  <si>
    <t>EN-032</t>
  </si>
  <si>
    <t>Control card Power Consumption on/off (nếu có toggle)</t>
  </si>
  <si>
    <t>Card có chấm trạng thái/toggle ở góc phải (Online nghĩa là đang hoạt động)</t>
  </si>
  <si>
    <t>1. Quan sát card trong trạng thái Online.
2. Tắt card (nếu có toggle/Enable).
3. Bật lại.</t>
  </si>
  <si>
    <t>Khi Off: card mờ/xám, không refresh dữ liệu.
Khi On: dữ liệu Current Load &amp; breakdown cập nhật lại.
Khác card không bị ảnh hưởng.</t>
  </si>
  <si>
    <t>Power Consumption – Không có dữ liệu load</t>
  </si>
  <si>
    <t>EN-033</t>
  </si>
  <si>
    <t>Xử lý khi không có dữ liệu tiêu thụ</t>
  </si>
  <si>
    <t>Thiết bị đo công suất mất kết nối hoặc chưa cấu hình</t>
  </si>
  <si>
    <t>1. Mở card Power Consumption khi không có dữ liệu.
2. Quan sát UI.</t>
  </si>
  <si>
    <t>Card hiển thị 'No data' hoặc 0W theo thiết kế.
Không hiển thị giá trị rác.</t>
  </si>
  <si>
    <t>EN-ANLY-001</t>
  </si>
  <si>
    <t>Energy Analytics – Chỉ số kWh Generated Today</t>
  </si>
  <si>
    <t>EN-040</t>
  </si>
  <si>
    <t>Kiểm tra kWh Generated Today</t>
  </si>
  <si>
    <t>Hệ thống đã ghi nhận dữ liệu sản lượng solar/battery trong ngày</t>
  </si>
  <si>
    <t>1. Mở card “Energy Analytics”.
2. Quan sát giá trị kWh Generated Today.</t>
  </si>
  <si>
    <t>Giá trị hiển thị đúng đơn vị kWh (ví dụ 4.2 kWh).
Khớp với tổng sản lượng theo dữ liệu chi tiết.</t>
  </si>
  <si>
    <t>Energy Analytics – kWh Consumed Today</t>
  </si>
  <si>
    <t>EN-041</t>
  </si>
  <si>
    <t>Kiểm tra kWh Consumed Today</t>
  </si>
  <si>
    <t>Hệ thống đã ghi nhận dữ liệu tiêu thụ trong ngày</t>
  </si>
  <si>
    <t>1. Mở card Energy Analytics.
2. Quan sát kWh Consumed Today.</t>
  </si>
  <si>
    <t>Giá trị hiển thị kWh tiêu thụ (ví dụ 3.8 kWh).
Khớp với tổng từ Power Consumption theo ngày.</t>
  </si>
  <si>
    <t>Energy Analytics – System Efficiency</t>
  </si>
  <si>
    <t>EN-042</t>
  </si>
  <si>
    <t>Kiểm tra System Efficiency (%)</t>
  </si>
  <si>
    <t>Đã có dữ liệu Generated &amp; Consumed để tính hiệu suất</t>
  </si>
  <si>
    <t>1. Mở card Energy Analytics.
2. Quan sát giá trị System Efficiency %.</t>
  </si>
  <si>
    <t>Hệ thống hiển thị % hiệu suất (ví dụ 92%).
Giá trị hợp lý so với Generated/Consumed (theo công thức thiết kế).
Không vượt 100% trừ trường hợp đặc biệt được định nghĩa.</t>
  </si>
  <si>
    <t>Energy Analytics – CO₂ Saved Today</t>
  </si>
  <si>
    <t>EN-043</t>
  </si>
  <si>
    <t>Kiểm tra CO₂ Saved Today</t>
  </si>
  <si>
    <t>Hệ thống có cấu hình hệ số phát thải và lượng năng lượng xanh</t>
  </si>
  <si>
    <t>1. Mở card Energy Analytics.
2. Quan sát giá trị CO₂ Saved Today (ví dụ 1.8kg).</t>
  </si>
  <si>
    <t>Giá trị CO₂ Saved Today hiển thị đúng đơn vị (kg/tấn).
Khớp với tính toán dựa trên kWh Generated Today và hệ số phát thải.
Không hiển thị số âm.</t>
  </si>
  <si>
    <t>Energy Analytics – Không có dữ liệu trong ngày</t>
  </si>
  <si>
    <t>EN-044</t>
  </si>
  <si>
    <t>Trường hợp ngày chưa có sản lượng/tiêu thụ</t>
  </si>
  <si>
    <t>Không có bản ghi năng lượng trong ngày test</t>
  </si>
  <si>
    <t>1. Chọn ngày không có dữ liệu (nếu có date filter) hoặc mô phỏng DB rỗng.
2. Mở card Energy Analytics.</t>
  </si>
  <si>
    <t>Các chỉ số kWh Generated Today, Consumed Today, Efficiency, CO₂ Saved hiển thị 0 hoặc 'No data' theo thiết kế.
Không lỗi chia cho 0 khi tính Efficiency.</t>
  </si>
  <si>
    <t>EN-TOGGLE-001</t>
  </si>
  <si>
    <t>Toggle – Bật/Tắt đồng thời nhiều card năng lượng</t>
  </si>
  <si>
    <t>EN-050</t>
  </si>
  <si>
    <t>Kiểm tra khi bật/tắt Solar, Battery, Load cùng lúc</t>
  </si>
  <si>
    <t>Các card Solar Generation, Battery Management, Power Consumption đều có trạng thái On/Online ban đầu</t>
  </si>
  <si>
    <t>1. Lần lượt tắt Solar, Battery, Power Consumption.
2. Quan sát cập nhật UI.
3. Bật lại từng card.</t>
  </si>
  <si>
    <t>Mỗi card khi Off sẽ mờ/xám và dừng cập nhật, không ảnh hưởng card khác.
Khi bật lại, từng card hoạt động độc lập.
Không có lỗi JS hoặc dữ liệu chéo giữa các card.</t>
  </si>
  <si>
    <t>Toggle – Lưu trạng thái on/off sau khi reload</t>
  </si>
  <si>
    <t>EN-051</t>
  </si>
  <si>
    <t>Trạng thái enable của từng card sau khi refresh trang</t>
  </si>
  <si>
    <t>User A tắt/bật một số card; hệ thống có cơ chế lưu state (nếu có)</t>
  </si>
  <si>
    <t>1. Tắt Solar Generation, giữ Battery &amp; Load bật.
2. Refresh trình duyệt.
3. Kiểm tra trạng thái các card.</t>
  </si>
  <si>
    <t>Nếu hệ thống có lưu trạng thái theo user: trạng thái card sau reload giống trước khi refresh.
Nếu không lưu: tất cả card về trạng thái mặc định – cần mô tả rõ trong spec.</t>
  </si>
  <si>
    <t>Environmental</t>
  </si>
  <si>
    <t>ENV-UI-001</t>
  </si>
  <si>
    <t>Giao diện &amp; Điều hướng</t>
  </si>
  <si>
    <t>TC-ENV-001</t>
  </si>
  <si>
    <t>Mở module Giám sát môi trường từ sidebar</t>
  </si>
  <si>
    <t>User đã đăng nhập, có quyền xem module Môi trường</t>
  </si>
  <si>
    <t>1. Đăng nhập Smart Pole Control.
2. Click menu "Môi trường" (Environmental) trên sidebar.</t>
  </si>
  <si>
    <t>- Trang hiển thị tiêu đề "Giám sát môi trường".
- Hiển thị đầy đủ: KPI bar, Cảm biến môi trường, Cảm biến ngập, Cảm biến gió, Biểu đồ xu hướng, Sự kiện.
- Không lỗi console.</t>
  </si>
  <si>
    <t>TC-ENV-002</t>
  </si>
  <si>
    <t>Kiểm tra nút Cài đặt ngưỡng mở modal Configure Thresholds</t>
  </si>
  <si>
    <t>User có quyền cấu hình threshold</t>
  </si>
  <si>
    <t>1. Mở màn Giám sát môi trường.
2. Click nút "Cài đặt ngưỡng" góc trên phải.</t>
  </si>
  <si>
    <t>- Modal/trang Configure Thresholds mở.
- Hiển thị danh sách các chỉ số có thể cấu hình.
- Các cột Metric, Unit, Min/Max Threshold hiển thị đầy đủ.</t>
  </si>
  <si>
    <t>ENV-THRES-001</t>
  </si>
  <si>
    <t>Cấu hình ngưỡng (Threshold)</t>
  </si>
  <si>
    <t>TC-ENV-003</t>
  </si>
  <si>
    <t>Hiển thị dữ liệu threshold đúng định dạng</t>
  </si>
  <si>
    <t>1. Mở modal Configure Thresholds.</t>
  </si>
  <si>
    <t>- Hiển thị đúng: Metric, Unit, Min/Max Threshold.
- Nếu chưa cấu hình → hiển thị "-".</t>
  </si>
  <si>
    <t>TC-ENV-004</t>
  </si>
  <si>
    <t>Chỉnh sửa threshold một chỉ số</t>
  </si>
  <si>
    <t>1. Mở modal Configure Thresholds.
2. Click icon ✏️ tại 1 dòng.
3. Nhập giá trị Min/Max hợp lệ.
4. Lưu.</t>
  </si>
  <si>
    <t>- Form inline cho phép nhập Min / Max.
- Sau lưu: giá trị cập nhật đúng trên bảng.
- Toast thành công hiển thị.</t>
  </si>
  <si>
    <t>Note: thông báo lỗi chưa đúng một số trường hợp</t>
  </si>
  <si>
    <t>TC-ENV-005</t>
  </si>
  <si>
    <t>Validate: ngưỡng dưới (Min) phải nhỏ hơn ngưỡng trên (Max)</t>
  </si>
  <si>
    <t>1. Mở modal Configure Thresholds.
2. Click ✏️ tại 1 dòng.
3. Nhập Min &gt; Max (vd Min=20, Max=10).
4. Lưu.</t>
  </si>
  <si>
    <t>- Hệ thống hiển thị lỗi validate.
- Không cho lưu.
- Không gọi API cập nhật.</t>
  </si>
  <si>
    <t>Bug: hệ thống hiện cho phép lower &gt;= upper → tạo khoảng rỗng không có giá trị nào thỏa mãn</t>
  </si>
  <si>
    <t>TC-ENV-005b</t>
  </si>
  <si>
    <t>Validate: các toán tử so sánh ngưỡng (bé hơn, bé hơn hoặc bằng, lớn hơn, lớn hơn hoặc bằng)</t>
  </si>
  <si>
    <t>User đang chỉnh sửa threshold</t>
  </si>
  <si>
    <t>1. Mở form chỉnh sửa threshold.
2. Chọn lần lượt các toán tử: &lt;, &lt;=, &gt;, &gt;=.
3. Lưu mỗi lần.</t>
  </si>
  <si>
    <t>- Hệ thống lưu đúng toán tử đã chọn.
- Logic kích hoạt cảnh báo áp dụng đúng theo toán tử.</t>
  </si>
  <si>
    <t>ENV-STAT-001</t>
  </si>
  <si>
    <t>KPI Statistics</t>
  </si>
  <si>
    <t>TC-ENV-006</t>
  </si>
  <si>
    <t>Hiển thị KPI Thiết bị đang hoạt động định dạng x/y</t>
  </si>
  <si>
    <t>Hệ thống có nhiều sensor được cấu hình</t>
  </si>
  <si>
    <t>1. Mở màn Giám sát môi trường.
2. Quan sát KPI "Thiết bị hoạt động".</t>
  </si>
  <si>
    <t>- Hiển thị đúng x/y Cảm biến.
- x = số sensor Online, y = tổng sensor cấu hình.
- Nếu x &gt; 0: màu xanh; nếu x = 0: màu đỏ.</t>
  </si>
  <si>
    <t>TC-ENV-007</t>
  </si>
  <si>
    <t>KPI Thiết bị hoạt động giảm khi sensor mất kết nối</t>
  </si>
  <si>
    <t>Có ít nhất 1 sensor đang Online</t>
  </si>
  <si>
    <t>1. Ghi nhận giá trị x/y hiện tại.
2. Ngắt kết nối 1 sensor.
3. Chờ ≤30 giây (refresh cycle).</t>
  </si>
  <si>
    <t>- Giá trị x giảm 1.
- Sensor mất kết nối không tính vào active.
- Màu cập nhật đúng nếu x=0.</t>
  </si>
  <si>
    <t>KPI refresh mỗi 30 giây</t>
  </si>
  <si>
    <t>TC-ENV-008</t>
  </si>
  <si>
    <t>Hiển thị KPI AQI trung bình 24h và tooltip timestamp</t>
  </si>
  <si>
    <t>Hệ thống có dữ liệu PM2.5</t>
  </si>
  <si>
    <t>1. Mở màn.
2. Quan sát KPI "Chất lượng không khí (AQI)".
3. Hover vào icon ⓘ.</t>
  </si>
  <si>
    <t>- Giá trị AQI hiển thị đúng.
- Tooltip hiển thị timestamp dữ liệu dùng để tính AQI.
- Trạng thái AQI (Tốt / Trung bình / Xấu) hiển thị đúng nhãn.</t>
  </si>
  <si>
    <t>TC-ENV-009</t>
  </si>
  <si>
    <t>AQI cập nhật khi dữ liệu PM2.5 thay đổi</t>
  </si>
  <si>
    <t>Hệ thống đã cấu hình ngưỡng AQI</t>
  </si>
  <si>
    <t>1. Thay đổi dữ liệu sensor PM2.5.
2. Chờ chu kỳ refresh (30s).</t>
  </si>
  <si>
    <t>- AQI cập nhật giá trị mới.
- Nhãn trạng thái thay đổi theo ngưỡng.
- Nếu AQI vượt ngưỡng → hệ thống tạo cảnh báo.</t>
  </si>
  <si>
    <t>TC-ENV-010</t>
  </si>
  <si>
    <t>Hiển thị KPI Chỉ số vượt mức định dạng a/b</t>
  </si>
  <si>
    <t>Có sensor gửi dữ liệu vượt threshold</t>
  </si>
  <si>
    <t>1. Cấu hình sensor gửi dữ liệu vượt threshold.
2. Mở màn.
3. Quan sát KPI "Chỉ số vượt mức".</t>
  </si>
  <si>
    <t>- Hiển thị a/b Chỉ số.
- a = số thông số latest vượt ngưỡng, b = tổng thông số giám sát.
- Không bao gồm AQI.
- Refresh mỗi 30 giây.</t>
  </si>
  <si>
    <t>TC-ENV-011</t>
  </si>
  <si>
    <t>Hiển thị KPI Cảnh báo 24h đếm đúng</t>
  </si>
  <si>
    <t>Có alert được tạo trong vòng 24h</t>
  </si>
  <si>
    <t>1. Trigger nhiều alert.
2. Mở màn.
3. Quan sát KPI "Cảnh báo (24h)".</t>
  </si>
  <si>
    <t>- Hiển thị tổng số alert được tạo trong 24h.
- Bao gồm cả chưa xử lý và đã xử lý.
- Không tính alert ngoài 24h.
- Refresh mỗi 30 giây.</t>
  </si>
  <si>
    <t>TC-ENV-012</t>
  </si>
  <si>
    <t>Hiển thị KPI Tỉ lệ hoạt động trong 30 ngày gần nhất</t>
  </si>
  <si>
    <t>Hệ thống có log uptime thiết bị</t>
  </si>
  <si>
    <t>1. Mở màn.
2. Quan sát KPI "Tỷ lệ hoạt động".</t>
  </si>
  <si>
    <t>- Hiển thị % uptime, làm tròn 1 chữ số thập phân.
- Giá trị nằm trong 0%–100%.
- Công thức: (Tổng thời gian Online / Tổng thời gian giám sát) × 100 trong 30 ngày.</t>
  </si>
  <si>
    <t>ENV-QUAL-001</t>
  </si>
  <si>
    <t>Cảm biến môi trường</t>
  </si>
  <si>
    <t>TC-ENV-013</t>
  </si>
  <si>
    <t>Hiển thị đầy đủ card Cảm biến môi trường</t>
  </si>
  <si>
    <t>User đã đăng nhập</t>
  </si>
  <si>
    <t>1. Mở màn.
2. Quan sát card "Cảm biến môi trường".</t>
  </si>
  <si>
    <t>- Hiển thị đầy đủ: PM2.5 (µg/m³), PM10 (µg/m³), CO2 (ppm), Nhiệt độ (°C), Độ ẩm (%), NO2 (ppb), SO2 (ppb), O3 (ppb).
- Badge tên sensor + trạng thái kết nối.
- Layout không vỡ.</t>
  </si>
  <si>
    <t>TC-ENV-014</t>
  </si>
  <si>
    <t>Badge trạng thái Active khi sensor đang kết nối</t>
  </si>
  <si>
    <t>Sensor môi trường đang Online</t>
  </si>
  <si>
    <t>1. Mở màn.
2. Quan sát badge trạng thái card Cảm biến môi trường.</t>
  </si>
  <si>
    <t>- Badge hiển thị "Đang kết nối" màu xanh.</t>
  </si>
  <si>
    <t>TC-ENV-015</t>
  </si>
  <si>
    <t>Badge chuyển Mất kết nối khi sensor không gửi tín hiệu &gt;30 giây</t>
  </si>
  <si>
    <t>1. Ngắt kết nối sensor môi trường.
2. Chờ 30 giây.
3. Quan sát card.</t>
  </si>
  <si>
    <t>- Badge chuyển sang "Mất kết nối" màu đỏ.
- Giá trị sensor không cập nhật thêm.
- Hiển thị dữ liệu gần nhất trước khi mất kết nối.</t>
  </si>
  <si>
    <t>TC-ENV-016</t>
  </si>
  <si>
    <t>Giá trị vượt ngưỡng hiển thị màu đỏ + tooltip cảnh báo</t>
  </si>
  <si>
    <t>Đã cấu hình threshold, sensor gửi dữ liệu vượt ngưỡng</t>
  </si>
  <si>
    <t>1. Sensor gửi giá trị vượt threshold.
2. Quan sát card.
3. Hover vào giá trị đỏ.</t>
  </si>
  <si>
    <t>- Giá trị hiển thị màu đỏ.
- Hover: popup cảnh báo hiển thị góc trên phải giá trị (theo UI spec).</t>
  </si>
  <si>
    <t>TC-ENV-017</t>
  </si>
  <si>
    <t>Dữ liệu realtime cập nhật mỗi 2 giây</t>
  </si>
  <si>
    <t>1. Mở màn.
2. Quan sát giá trị PM2.5 trong 10 giây.
3. Sensor thay đổi giá trị.</t>
  </si>
  <si>
    <t>- Giá trị PM2.5 tự cập nhật không cần reload.
- Cập nhật trong ≤2 giây.</t>
  </si>
  <si>
    <t>Realtime</t>
  </si>
  <si>
    <t>TC-ENV-018</t>
  </si>
  <si>
    <t>Hiển thị đúng giá trị và đơn vị PM2.5</t>
  </si>
  <si>
    <t>Sensor PM2.5 đang hoạt động</t>
  </si>
  <si>
    <t>1. Quan sát chỉ số PM2.5 trên card.</t>
  </si>
  <si>
    <t>- Giá trị PM2.5 đúng với dữ liệu sensor.
- Đơn vị: µg/m³.</t>
  </si>
  <si>
    <t>TC-ENV-019</t>
  </si>
  <si>
    <t>Hiển thị đúng giá trị và đơn vị PM10</t>
  </si>
  <si>
    <t>Sensor môi trường đang hoạt động</t>
  </si>
  <si>
    <t>1. Quan sát chỉ số PM10 trên card.</t>
  </si>
  <si>
    <t>- Giá trị PM10 đúng với dữ liệu sensor.
- Đơn vị: µg/m³.
- Không sai format hoặc vỡ layout.</t>
  </si>
  <si>
    <t>TC-ENV-020</t>
  </si>
  <si>
    <t>Hiển thị đúng giá trị và đơn vị CO2</t>
  </si>
  <si>
    <t>Sensor CO2 đang hoạt động</t>
  </si>
  <si>
    <t>1. Quan sát chỉ số CO2 trên card.</t>
  </si>
  <si>
    <t>- Giá trị CO2 đúng.
- Đơn vị: ppm.</t>
  </si>
  <si>
    <t>Chưa có dữ liệu từ thiết bị</t>
  </si>
  <si>
    <t>TC-ENV-021</t>
  </si>
  <si>
    <t>Hiển thị đúng giá trị và đơn vị Nhiệt độ</t>
  </si>
  <si>
    <t>Sensor nhiệt độ đang hoạt động</t>
  </si>
  <si>
    <t>1. Quan sát chỉ số Nhiệt độ trên card.</t>
  </si>
  <si>
    <t>- Giá trị đúng.
- Đơn vị: °C.</t>
  </si>
  <si>
    <t>TC-ENV-022</t>
  </si>
  <si>
    <t>Hiển thị đúng giá trị và đơn vị Độ ẩm</t>
  </si>
  <si>
    <t>Sensor độ ẩm đang hoạt động</t>
  </si>
  <si>
    <t>1. Quan sát chỉ số Độ ẩm trên card.</t>
  </si>
  <si>
    <t>- Giá trị đúng.
- Đơn vị: %.</t>
  </si>
  <si>
    <t>TC-ENV-023</t>
  </si>
  <si>
    <t>Hiển thị đúng giá trị và đơn vị NO2</t>
  </si>
  <si>
    <t>Sensor NO2 đang hoạt động</t>
  </si>
  <si>
    <t>1. Quan sát chỉ số NO2 trên card.</t>
  </si>
  <si>
    <t>- Giá trị đúng.
- Đơn vị: ppb.</t>
  </si>
  <si>
    <t>TC-ENV-024</t>
  </si>
  <si>
    <t>Hiển thị đúng giá trị và đơn vị SO2</t>
  </si>
  <si>
    <t>Sensor SO2 đang hoạt động</t>
  </si>
  <si>
    <t>1. Quan sát chỉ số SO2 trên card.</t>
  </si>
  <si>
    <t>TC-ENV-025</t>
  </si>
  <si>
    <t>Hiển thị đúng giá trị và đơn vị O3</t>
  </si>
  <si>
    <t>Sensor O3 đang hoạt động</t>
  </si>
  <si>
    <t>1. Quan sát chỉ số O3 trên card.</t>
  </si>
  <si>
    <t>ENV-FLOOD-001</t>
  </si>
  <si>
    <t>Cảm biến ngập</t>
  </si>
  <si>
    <t>TC-ENV-026</t>
  </si>
  <si>
    <t>Hiển thị Mực nước hiện tại</t>
  </si>
  <si>
    <t>Sensor Flood đang kết nối</t>
  </si>
  <si>
    <t>1. Mở màn.
2. Quan sát card "Cảm biến ngập" → Mực nước.</t>
  </si>
  <si>
    <t>- Giá trị mực nước đúng.
- Đơn vị: cm.</t>
  </si>
  <si>
    <t>TC-ENV-027</t>
  </si>
  <si>
    <t>Hiển thị Tốc độ nước dâng (Water Rise Speed)</t>
  </si>
  <si>
    <t>Flood sensor đang hoạt động</t>
  </si>
  <si>
    <t>1. Quan sát mục Tốc độ nước dâng trên card.</t>
  </si>
  <si>
    <t>- Giá trị đúng.
- Đơn vị: cm/phút.
- Refresh mỗi 5 phút.</t>
  </si>
  <si>
    <t>TC-ENV-028</t>
  </si>
  <si>
    <t>Hiển thị Mực nước tối đa 30 phút gần nhất</t>
  </si>
  <si>
    <t>1. Quan sát Mực nước tối đa (30p).</t>
  </si>
  <si>
    <t>- Hiển thị đúng giá trị max trong 30 phút.
- Đơn vị: cm.
- Giá trị ≥ Min Water Level.</t>
  </si>
  <si>
    <t>TC-ENV-029</t>
  </si>
  <si>
    <t>Hiển thị Mực nước tối thiểu 30 phút gần nhất</t>
  </si>
  <si>
    <t>1. Quan sát Mực nước tối thiểu (30p).</t>
  </si>
  <si>
    <t>- Hiển thị đúng giá trị min trong 30 phút.
- Đơn vị: cm.
- Giá trị ≤ Max Water Level.</t>
  </si>
  <si>
    <t>TC-ENV-030</t>
  </si>
  <si>
    <t>Realtime update dữ liệu Flood sensor mỗi 2 giây</t>
  </si>
  <si>
    <t>Flood sensor đang gửi dữ liệu liên tục</t>
  </si>
  <si>
    <t>1. Mở màn.
2. Giữ màn hình mở.
3. Sensor gửi dữ liệu mới.</t>
  </si>
  <si>
    <t>- Giá trị Mực nước cập nhật tự động ≤2 giây.
- Không cần reload.
- UI không bị giật.</t>
  </si>
  <si>
    <t>TC-ENV-031</t>
  </si>
  <si>
    <t>Badge Mất kết nối khi Flood sensor offline &gt;30 giây</t>
  </si>
  <si>
    <t>Sensor đang Online</t>
  </si>
  <si>
    <t>1. Ngắt kết nối Flood sensor.
2. Chờ 30 giây.</t>
  </si>
  <si>
    <t>- Badge chuyển "Mất kết nối" màu đỏ.
- Giá trị không cập nhật thêm.</t>
  </si>
  <si>
    <t>TC-ENV-032</t>
  </si>
  <si>
    <t>Tạo Alert khi mực nước &gt;= ngưỡng cấu hình</t>
  </si>
  <si>
    <t>Đã cấu hình ngưỡng mực nước; chưa có alert active cùng loại</t>
  </si>
  <si>
    <t>1. Cấu hình ngưỡng mực nước = 50 cm.
2. Sensor gửi dữ liệu ≥50 cm.</t>
  </si>
  <si>
    <t>- Hệ thống tạo 1 alert record.
- Không tạo thêm nếu đã có alert active cùng loại.
- Alert xuất hiện trong bảng Sự kiện.</t>
  </si>
  <si>
    <t>Alert</t>
  </si>
  <si>
    <t>Tránh duplicate alert active cùng loại</t>
  </si>
  <si>
    <t>ENV-WIND-001</t>
  </si>
  <si>
    <t>Cảm biến gió</t>
  </si>
  <si>
    <t>TC-ENV-033</t>
  </si>
  <si>
    <t>Hiển thị Tốc độ gió hiện tại</t>
  </si>
  <si>
    <t>Wind sensor đang hoạt động</t>
  </si>
  <si>
    <t>1. Quan sát card "Cảm biến gió" → Tốc độ gió.</t>
  </si>
  <si>
    <t>- Giá trị đúng.
- Đơn vị: m/s.</t>
  </si>
  <si>
    <t>TC-ENV-034</t>
  </si>
  <si>
    <t>Hiển thị Hướng gió</t>
  </si>
  <si>
    <t>1. Quan sát mục Hướng gió trên card.</t>
  </si>
  <si>
    <t>- Hiển thị đúng hướng gió (N, NE, E, SE, S, SW, W, NW hoặc tương đương).
- Không sai format.</t>
  </si>
  <si>
    <t>TC-ENV-035</t>
  </si>
  <si>
    <t>Hiển thị Tốc độ gió tối đa 30 phút</t>
  </si>
  <si>
    <t>1. Quan sát Tốc độ gió tối đa (30p).</t>
  </si>
  <si>
    <t>- Giá trị max tốc độ gió trong 30 phút.
- Đơn vị: m/s.</t>
  </si>
  <si>
    <t>TC-ENV-036</t>
  </si>
  <si>
    <t>Hiển thị Tốc độ gió tối thiểu 30 phút</t>
  </si>
  <si>
    <t>1. Quan sát Tốc độ gió tối thiểu (30p).</t>
  </si>
  <si>
    <t>- Giá trị min tốc độ gió trong 30 phút.
- Đơn vị: m/s.</t>
  </si>
  <si>
    <t>TC-ENV-037</t>
  </si>
  <si>
    <t>Badge chuyển Mất kết nối → Active khi Wind sensor reconnect</t>
  </si>
  <si>
    <t>Wind sensor đang Active</t>
  </si>
  <si>
    <t>1. Ghi nhận badge Active.
2. Ngắt kết nối Wind sensor.
3. Chờ &gt;30 giây.
4. Kết nối lại.
5. Chờ sensor gửi dữ liệu.</t>
  </si>
  <si>
    <t>- Sau ngắt: badge → Mất kết nối (đỏ), dữ liệu không cập nhật.
- Sau kết nối lại: badge → Active (xanh), dữ liệu tiếp tục realtime.
- Không lỗi UI.</t>
  </si>
  <si>
    <t>TC-ENV-038</t>
  </si>
  <si>
    <t>Cảnh báo khi tốc độ gió vượt ngưỡng</t>
  </si>
  <si>
    <t>Đã cấu hình ngưỡng tốc độ gió</t>
  </si>
  <si>
    <t>1. Sensor gửi tốc độ gió vượt ngưỡng cấu hình.</t>
  </si>
  <si>
    <t>- Giá trị hiển thị màu đỏ trên card.
- Alert được tạo trong bảng Sự kiện.</t>
  </si>
  <si>
    <t>ENV-CHART-001</t>
  </si>
  <si>
    <t>Biểu đồ xu hướng theo thời gian</t>
  </si>
  <si>
    <t>TC-ENV-039</t>
  </si>
  <si>
    <t>Hiển thị card Biểu đồ xu hướng</t>
  </si>
  <si>
    <t>Hệ thống có dữ liệu sensor theo thời gian</t>
  </si>
  <si>
    <t>1. Mở màn.
2. Quan sát card "Biểu đồ xu hướng theo thời gian".</t>
  </si>
  <si>
    <t>- Card hiển thị.
- Biểu đồ đường (line chart) theo thời gian.
- Trục X: thời gian; Trục Y: giá trị chỉ số.
- Không vỡ layout.</t>
  </si>
  <si>
    <t>TC-ENV-040</t>
  </si>
  <si>
    <t>Dropdown chọn loại thông số hiển thị đúng danh sách</t>
  </si>
  <si>
    <t>Hệ thống có nhiều loại sensor</t>
  </si>
  <si>
    <t>1. Click dropdown loại thông số trên chart.
2. Quan sát danh sách.</t>
  </si>
  <si>
    <t>- Dropdown hiển thị: Chất lượng không khí (AQI), PM2.5, CO2, Mực nước, Tốc độ gió.
- Không bị tràn giao diện.</t>
  </si>
  <si>
    <t>TC-ENV-041</t>
  </si>
  <si>
    <t>Thay đổi loại thông số → chart cập nhật đúng dữ liệu</t>
  </si>
  <si>
    <t>Hệ thống có dữ liệu nhiều loại sensor</t>
  </si>
  <si>
    <t>1. Chọn "AQI" trên dropdown.
2. Chuyển sang "PM2.5".
3. Quan sát biểu đồ.</t>
  </si>
  <si>
    <t>- Chart cập nhật dữ liệu PM2.5.
- Đường biểu đồ, trục Y thay đổi tương ứng.
- Không cần reload.</t>
  </si>
  <si>
    <t>TC-ENV-042</t>
  </si>
  <si>
    <t>Lọc theo thời gian Hôm nay → trục X format HH:mm</t>
  </si>
  <si>
    <t>Hệ thống có dữ liệu trong ngày</t>
  </si>
  <si>
    <t>1. Chọn filter "Hôm nay".
2. Quan sát trục X.</t>
  </si>
  <si>
    <t>- Chart hiển thị dữ liệu trong ngày hiện tại.
- Trục X định dạng HH:mm.</t>
  </si>
  <si>
    <t>TC-ENV-043</t>
  </si>
  <si>
    <t>Lọc theo 7 ngày → trục X format DD/MM</t>
  </si>
  <si>
    <t>Hệ thống có dữ liệu 7 ngày</t>
  </si>
  <si>
    <t>1. Chọn filter "7 ngày".
2. Quan sát trục X.</t>
  </si>
  <si>
    <t>- Chart hiển thị dữ liệu 7 ngày.
- Trục X định dạng DD/MM.</t>
  </si>
  <si>
    <t>TC-ENV-044</t>
  </si>
  <si>
    <t>Lọc theo 30 ngày → trục X format DD/MM</t>
  </si>
  <si>
    <t>Hệ thống có dữ liệu 30 ngày</t>
  </si>
  <si>
    <t>1. Chọn filter "30 ngày".
2. Quan sát trục X.</t>
  </si>
  <si>
    <t>- Chart hiển thị dữ liệu 30 ngày.
- Trục X định dạng DD/MM.</t>
  </si>
  <si>
    <t>TC-ENV-045</t>
  </si>
  <si>
    <t>Tooltip khi hover vào điểm trên biểu đồ</t>
  </si>
  <si>
    <t>Chart đang hiển thị dữ liệu</t>
  </si>
  <si>
    <t>1. Di chuột vào 1 điểm trên đường biểu đồ.</t>
  </si>
  <si>
    <t>- Tooltip hiển thị: Timestamp + Giá trị sensor + Trạng thái.
- Dữ liệu tooltip đúng với điểm đó.</t>
  </si>
  <si>
    <t>Bucket 5 phút → AVG(value trong mỗi 2s)</t>
  </si>
  <si>
    <t>TC-ENV-046</t>
  </si>
  <si>
    <t>Chart tự cập nhật dữ liệu mỗi 5 phút</t>
  </si>
  <si>
    <t>Chart đang mở, sensor đang gửi dữ liệu</t>
  </si>
  <si>
    <t>1. Mở chart.
2. Chờ 5 phút.
3. Quan sát đường biểu đồ.</t>
  </si>
  <si>
    <t>- Điểm dữ liệu mới xuất hiện cuối đường.
- Không cần thao tác thêm.</t>
  </si>
  <si>
    <t>TC-ENV-047</t>
  </si>
  <si>
    <t>Threshold band hiển thị đúng vùng ngưỡng trên biểu đồ</t>
  </si>
  <si>
    <t>Đã cấu hình ngưỡng cho thông số đang hiển thị</t>
  </si>
  <si>
    <t>1. Chọn thông số có cấu hình threshold.
2. Quan sát biểu đồ.</t>
  </si>
  <si>
    <t>- Biểu đồ hiển thị vùng màu (threshold band) tương ứng khoảng Min–Max.
- Điểm vượt ngưỡng nằm ngoài vùng này.</t>
  </si>
  <si>
    <t>ENV-EVENT-001</t>
  </si>
  <si>
    <t>Sự kiện (Alert Table)</t>
  </si>
  <si>
    <t>TC-ENV-048</t>
  </si>
  <si>
    <t>Hiển thị bảng Sự kiện đúng cấu trúc cột</t>
  </si>
  <si>
    <t>Hệ thống có dữ liệu events</t>
  </si>
  <si>
    <t>1. Mở màn.
2. Quan sát bảng Sự kiện.</t>
  </si>
  <si>
    <t>- Hiển thị đủ cột: #, Thời gian ghi nhận, Tên sự kiện, Thiết bị, Mức độ.
- Cột # tăng dần.
- Thời gian format: dd/MM/yyyy HH:mm:ss.
- Badge Mức độ hiển thị đúng màu.</t>
  </si>
  <si>
    <t>TC-ENV-049</t>
  </si>
  <si>
    <t>Badge Mức độ hiển thị đúng 3 loại</t>
  </si>
  <si>
    <t>Có đủ 3 loại alert trong bảng</t>
  </si>
  <si>
    <t>1. Quan sát cột Mức độ trong bảng Sự kiện.</t>
  </si>
  <si>
    <t>- Thông báo: badge màu vàng.
- Cảnh báo: badge màu cam (hoặc theo UI).
- Khẩn cấp: badge màu đỏ.</t>
  </si>
  <si>
    <t>TC-ENV-050</t>
  </si>
  <si>
    <t>Tìm kiếm theo tên sự kiện (real-time filter)</t>
  </si>
  <si>
    <t>Hệ thống có nhiều loại event</t>
  </si>
  <si>
    <t>1. Nhập từ khóa vào ô tìm kiếm.
2. Quan sát bảng tự động filter.</t>
  </si>
  <si>
    <t>- Bảng tự filter theo từng ký tự nhập.
- Chỉ hiển thị event khớp tên sự kiện.
- Không hiển thị dữ liệu không liên quan.</t>
  </si>
  <si>
    <t>TC-ENV-051</t>
  </si>
  <si>
    <t>Filter dropdown "Tất cả loại cảm biến"</t>
  </si>
  <si>
    <t>Hệ thống có event từ nhiều loại sensor</t>
  </si>
  <si>
    <t>1. Click dropdown loại cảm biến.
2. Chọn loại cụ thể (vd: Cảm biến ngập).</t>
  </si>
  <si>
    <t>- Bảng chỉ hiển thị event của loại cảm biến được chọn.
- Dropdown không bị tràn giao diện.</t>
  </si>
  <si>
    <t>TC-ENV-052</t>
  </si>
  <si>
    <t>Filter theo khoảng thời gian hợp lệ</t>
  </si>
  <si>
    <t>Hệ thống có event nhiều khoảng thời gian</t>
  </si>
  <si>
    <t>1. Chọn Start Date và End Date hợp lệ.
2. Áp dụng filter.</t>
  </si>
  <si>
    <t>- Hiển thị đúng event trong khoảng thời gian.
- Không hiển thị event ngoài khoảng.</t>
  </si>
  <si>
    <t>TC-ENV-053</t>
  </si>
  <si>
    <t>Filter thời gian không có dữ liệu → hiển thị trạng thái rỗng</t>
  </si>
  <si>
    <t>Không có event trong khoảng thời gian chọn</t>
  </si>
  <si>
    <t>1. Chọn khoảng thời gian không có event.
2. Áp dụng filter.</t>
  </si>
  <si>
    <t>- Bảng hiển thị trạng thái rỗng / "Không có dữ liệu".
- Không phát sinh lỗi UI.</t>
  </si>
  <si>
    <t>TC-ENV-054</t>
  </si>
  <si>
    <t>Validate Start Date &gt; End Date → không cho filter</t>
  </si>
  <si>
    <t>User có quyền filter</t>
  </si>
  <si>
    <t>1. Chọn Start Date &gt; End Date.
2. Áp dụng filter.</t>
  </si>
  <si>
    <t>- Hệ thống hiển thị lỗi validate.
- Không tải dữ liệu sai.</t>
  </si>
  <si>
    <t>TC-ENV-055</t>
  </si>
  <si>
    <t>Pagination hiển thị 5 record mỗi trang</t>
  </si>
  <si>
    <t>Danh sách Events có &gt;5 record</t>
  </si>
  <si>
    <t>1. Quan sát bảng.
2. Kiểm tra số dòng mỗi trang.
3. Click Next (&gt;), Previous (&lt;), số trang cụ thể.</t>
  </si>
  <si>
    <t>- Mặc định 5 record/trang.
- Pagination: hiển thị đúng tổng số trang, điều hướng đúng.
- Dữ liệu đúng theo từng trang.</t>
  </si>
  <si>
    <t>TC-ENV-056</t>
  </si>
  <si>
    <t>Realtime update khi có event mới phát sinh</t>
  </si>
  <si>
    <t>Có event mới từ sensor</t>
  </si>
  <si>
    <t>1. Quan sát bảng Sự kiện.
2. Trigger event mới từ sensor.</t>
  </si>
  <si>
    <t>- Event mới xuất hiện trên bảng (trang 1).
- Thời gian và loại sự kiện đúng.</t>
  </si>
  <si>
    <t>ENV-ALERT-001</t>
  </si>
  <si>
    <t>Alert Rules</t>
  </si>
  <si>
    <t>TC-ENV-057</t>
  </si>
  <si>
    <t>Alert khi chỉ số môi trường thấp hơn ngưỡng tối thiểu</t>
  </si>
  <si>
    <t>Đã cấu hình ngưỡng tối thiểu cho chỉ số (vd PM2.5)</t>
  </si>
  <si>
    <t>1. Cấu hình ngưỡng dưới cho chỉ số.
2. Sensor gửi giá trị thấp hơn ngưỡng trong thời gian xác định.</t>
  </si>
  <si>
    <t>- Hệ thống tạo alert record mức Cảnh báo.
- Alert xuất hiện trong bảng Sự kiện.
- Tên sự kiện: "{Chỉ số} dưới ngưỡng tối thiểu".
- Thiết bị: Môi trường.</t>
  </si>
  <si>
    <t>TC-ENV-058</t>
  </si>
  <si>
    <t>Alert AQI ở mức xấu (AQI &gt;= 50)</t>
  </si>
  <si>
    <t>Hệ thống có cảm biến PM2.5, đã cấu hình ngưỡng AQI</t>
  </si>
  <si>
    <t>1. Sensor gửi giá trị PM2.5 dẫn đến AQI &gt;= 50.</t>
  </si>
  <si>
    <t>- Alert mức Cảnh báo được tạo.
- Tên sự kiện: "AQI ở mức xấu".
- KPI AQI cập nhật nhãn trạng thái tương ứng.</t>
  </si>
  <si>
    <t>TC-ENV-059</t>
  </si>
  <si>
    <t>Alert Khẩn cấp khi chỉ số vượt ngưỡng tối đa (NO2, O3, PM2.5, PM10)</t>
  </si>
  <si>
    <t>Đã cấu hình ngưỡng trên</t>
  </si>
  <si>
    <t>1. Sensor gửi giá trị NO2/O3/PM2.5/PM10 vượt ngưỡng nguy hiểm.</t>
  </si>
  <si>
    <t>- Alert mức Khẩn cấp được tạo.
- Tên sự kiện: "{Chỉ số} vượt ngưỡng tối đa".
- Badge màu đỏ trong bảng Sự kiện.</t>
  </si>
  <si>
    <t>TC-ENV-060</t>
  </si>
  <si>
    <t>Alert Mất kết nối cảm biến khi offline quá thời gian quy định</t>
  </si>
  <si>
    <t>1. Ngắt kết nối sensor.
2. Chờ quá thời gian quy định (30 giây).</t>
  </si>
  <si>
    <t>- Alert mức Cảnh báo được tạo.
- Tên sự kiện: "Mất kết nối cảm biến".
- Badge trên card sensor chuyển đỏ.</t>
  </si>
  <si>
    <t>TC-ENV-061</t>
  </si>
  <si>
    <t>Alert Cảm biến có kết nối khi sensor reconnect thành công</t>
  </si>
  <si>
    <t>Sensor vừa mất kết nối, sau đó reconnect</t>
  </si>
  <si>
    <t>1. Ngắt kết nối sensor.
2. Kết nối lại sensor.
3. Quan sát bảng Sự kiện.</t>
  </si>
  <si>
    <t>- Alert mức Cảnh báo được tạo.
- Tên sự kiện: "Cảm biến có kết nối".
- Badge card sensor chuyển xanh.</t>
  </si>
  <si>
    <t>Multimedia</t>
  </si>
  <si>
    <t>Cập nhật testcase Multimedia theo UI thực tế và format report</t>
  </si>
  <si>
    <t>30/06/2026</t>
  </si>
  <si>
    <t xml:space="preserve">Cập nhật TC theo phân tích mới </t>
  </si>
  <si>
    <t>Hoàng Hồng Vân và Nguyễn Thị Minh Tâm</t>
  </si>
  <si>
    <t>Kết quả thực tế
(Actual Results)</t>
  </si>
  <si>
    <t>Tình trạng
(Status)</t>
  </si>
  <si>
    <t>Chú thích
(Notes)</t>
  </si>
  <si>
    <t>SC-MUL-UI-001</t>
  </si>
  <si>
    <t>Header &amp; trạng thái tổng quan</t>
  </si>
  <si>
    <t>TC-MUL-UI-01</t>
  </si>
  <si>
    <t>Kiểm tra tiêu đề màn hình "Điều phối phát đa phương tiện".</t>
  </si>
  <si>
    <t>Người dùng điều hướng tới /multimedia.</t>
  </si>
  <si>
    <t>1. Click menu "Đa phương tiện" ở sidebar.
2. Quan sát tiêu đề trang.</t>
  </si>
  <si>
    <t>Hiển thị tiêu đề "Điều phối phát đa phương tiện" kèm [Tên thiết bị] | [Khu vực đặt trụ].</t>
  </si>
  <si>
    <t>Tiêu đề "Điều phối phát đa phương tiện" hiển thị đúng.</t>
  </si>
  <si>
    <t>TC-MUL-UI-02</t>
  </si>
  <si>
    <t>Kiểm tra hiển thị Tên thiết bị đang điều khiển.</t>
  </si>
  <si>
    <t>Trang Multimedia đã tải xong.</t>
  </si>
  <si>
    <t>1. Quan sát khối header dưới tiêu đề.</t>
  </si>
  <si>
    <t>Hiển thị tên Smart Pole (A3L-StreetLight-Display-01) và mã thiết bị (EdgeX device name).</t>
  </si>
  <si>
    <t>Tên thiết bị "A3L-StreetLight-Display-01" hiển thị đúng trong header.</t>
  </si>
  <si>
    <t>TC-MUL-UI-03</t>
  </si>
  <si>
    <t>Kiểm tra Status Badge trạng thái kết nối thiết bị.</t>
  </si>
  <si>
    <t>1. Quan sát badge trạng thái bên cạnh tên thiết bị.</t>
  </si>
  <si>
    <t>Hiển thị một trong các trạng thái: Trực tuyến (Online), Ngoại tuyến (Offline) hoặc Đang đồng bộ.</t>
  </si>
  <si>
    <t>Status Badge trạng thái kết nối hiển thị đúng (ghi nhận: "Trực tuyến").</t>
  </si>
  <si>
    <t>SC-MUL-UI-002</t>
  </si>
  <si>
    <t>Màn hình Preview &amp; Playback hiện tại</t>
  </si>
  <si>
    <t>TC-MUL-UI-04</t>
  </si>
  <si>
    <t>Kiểm tra khối "Màn hình hiển thị" hiển thị Preview luồng phát trực tiếp Mặt trước và Mặt sau.</t>
  </si>
  <si>
    <t>Thiết bị A3L đang hoạt động.</t>
  </si>
  <si>
    <t>1. Quan sát khối "Màn hình hiển thị".</t>
  </si>
  <si>
    <t>Hiển thị 2 khung preview Mặt trước / Mặt sau, mỗi khung có nhãn trạng thái phát (Đang phát) và thời gian cập nhật.</t>
  </si>
  <si>
    <t>Khối "Màn hình hiển thị" hiển thị đủ 2 khung Preview Mặt trước/Mặt sau kèm trạng thái phát.</t>
  </si>
  <si>
    <t>TC-MUL-UI-05</t>
  </si>
  <si>
    <t>Xác nhận vùng Preview không hỗ trợ thao tác điều khiển trực tiếp.</t>
  </si>
  <si>
    <t>Khối Preview đang hiển thị.</t>
  </si>
  <si>
    <t>1. Thử click/kéo trực tiếp lên khung ảnh Preview.</t>
  </si>
  <si>
    <t>Không có hành vi điều khiển nào được kích hoạt khi click lên vùng Preview (chỉ xem, không tương tác).</t>
  </si>
  <si>
    <t>Vùng Preview chỉ là hình ảnh xem trước (streaming snapshot), không gắn event handler điều khiển - xác nhận qua kiểm tra cấu trúc DOM không có control tương tác trên khung ảnh.</t>
  </si>
  <si>
    <t>TC-MUL-UI-06</t>
  </si>
  <si>
    <t>Kiểm tra Information Card hiển thị thông tin Playback hiện tại của từng màn hình.</t>
  </si>
  <si>
    <t>Nội dung đang phát trên ít nhất 1 mặt màn hình.</t>
  </si>
  <si>
    <t>1. Quan sát card thông tin dưới mỗi khung Preview trong khối "Điều phối phát phương tiện".</t>
  </si>
  <si>
    <t>Hiển thị tên nội dung, loại nội dung và trạng thái phát cho từng màn hình.</t>
  </si>
  <si>
    <t>Card thông tin Playback hiện tại hiển thị tên nội dung, loại và lịch phát áp dụng cho từng màn hình.</t>
  </si>
  <si>
    <t>SC-MUL-UI-003</t>
  </si>
  <si>
    <t>Điều phối phát phương tiện</t>
  </si>
  <si>
    <t>TC-MUL-UI-07</t>
  </si>
  <si>
    <t>Card "Mặt trước" hiển thị đúng nội dung đang phát trên màn hình LED mặt trước.</t>
  </si>
  <si>
    <t>Thiết bị hoạt động.</t>
  </si>
  <si>
    <t>1. Quan sát Card "Mặt trước".</t>
  </si>
  <si>
    <t>Hiển thị tên nội dung, loại (Video/Trang web), trạng thái ĐANG PHÁT, lịch phát áp dụng (Lịch phát: ...).</t>
  </si>
  <si>
    <t>Card "Mặt trước" hiển thị đủ tên nội dung/loại/trạng thái/lịch phát.</t>
  </si>
  <si>
    <t>TC-MUL-UI-08</t>
  </si>
  <si>
    <t>Card "Mặt sau" hiển thị đúng nội dung đang phát trên màn hình LED mặt sau.</t>
  </si>
  <si>
    <t>1. Quan sát Card "Mặt sau".</t>
  </si>
  <si>
    <t>Hiển thị tên nội dung, loại, trạng thái ĐANG PHÁT, lịch phát áp dụng, độc lập với Card Mặt trước.</t>
  </si>
  <si>
    <t>Card "Mặt sau" hiển thị đủ tên nội dung/loại/trạng thái/lịch phát.</t>
  </si>
  <si>
    <t>TC-MUL-UI-09</t>
  </si>
  <si>
    <t>Nút "Xem nội dung" mở popup xem nhanh toàn bộ nội dung đang phát trên màn hình.</t>
  </si>
  <si>
    <t>Card Mặt trước/Mặt sau đang hiển thị.</t>
  </si>
  <si>
    <t>1. Click nút "Xem nội dung" trên Card Mặt trước hoặc Mặt sau.</t>
  </si>
  <si>
    <t>Mở popup/khối mở rộng hiển thị chi tiết nội dung đang phát trên màn hình tương ứng.</t>
  </si>
  <si>
    <t>Nút "Xem nội dung" mở đúng popup xem nhanh nội dung đang phát.</t>
  </si>
  <si>
    <t>TC-MUL-UI-10</t>
  </si>
  <si>
    <t>Nút "Tạm dừng" hiện diện trên Card khi màn hình đang phát.</t>
  </si>
  <si>
    <t>Màn hình đang ở trạng thái Đang phát.</t>
  </si>
  <si>
    <t>1. Quan sát nút thao tác trên Card khi trạng thái là ĐANG PHÁT.</t>
  </si>
  <si>
    <t>Hiển thị nút "Tạm dừng". Không thực thi click trực tiếp trên môi trường thật để tránh ảnh hưởng nội dung đang phát trên thiết bị vật lý.</t>
  </si>
  <si>
    <t>Nút "Tạm dừng" hiển thị đúng khi màn hình đang phát. Không chủ động click để tránh làm gián đoạn nội dung đang phát trên thiết bị thật.</t>
  </si>
  <si>
    <t>TC-MUL-UI-11</t>
  </si>
  <si>
    <t>Nút "Tiếp tục" hiện diện trên Card khi màn hình đang ở trạng thái tạm dừng.</t>
  </si>
  <si>
    <t>Màn hình đang ở trạng thái Tạm dừng.</t>
  </si>
  <si>
    <t>1. Quan sát nút thao tác trên Card khi trạng thái là Tạm dừng.</t>
  </si>
  <si>
    <t>Hiển thị nút "Tiếp tục" thay cho "Tạm dừng", cho phép phát tiếp từ thời điểm dừng.</t>
  </si>
  <si>
    <t>Theo tác hơi chậm ( ~5s-6s)</t>
  </si>
  <si>
    <t>TC-MUL-UI-12</t>
  </si>
  <si>
    <t>[Phát hiện thêm ngoài spec] Nút "Đảo mặt" (Swap faces) và "Dừng tất cả" (Stop all) xuất hiện trên header khối Điều phối phát phương tiện.</t>
  </si>
  <si>
    <t>1. Quan sát góc phải header khối "Điều phối phát phương tiện".</t>
  </si>
  <si>
    <t>Ghi nhận: 2 nút "Đảo mặt" và "Dừng tất cả" tồn tại trên UI thật nhưng KHÔNG có trong tài liệu spec được cung cấp. Đề nghị bổ sung đặc tả chính thức cho 2 nút này (hành vi, popup xác nhận nếu có).</t>
  </si>
  <si>
    <t>Xác nhận 2 nút "Đảo mặt" và "Dừng tất cả" tồn tại trên UI thật nhưng không có trong spec được cung cấp - cần bổ sung đặc tả.</t>
  </si>
  <si>
    <t>Gap Analysis</t>
  </si>
  <si>
    <t>Theo tác đảo mặt hơi chậm</t>
  </si>
  <si>
    <t>SC-MUL-UI-004</t>
  </si>
  <si>
    <t>Cài đặt hiển thị</t>
  </si>
  <si>
    <t>TC-MUL-UI-13</t>
  </si>
  <si>
    <t>Slider "Độ sáng" điều chỉnh độ sáng đồng thời cho cả hai màn hình LED, giá trị 0-100%.</t>
  </si>
  <si>
    <t>1. Quan sát khối "Cài đặt hiển thị" &gt; Slider "Độ sáng toàn bộ màn hình".</t>
  </si>
  <si>
    <t>Hiển thị Slider với giá trị % hiện tại (0-100%) và nhãn trạng thái nguồn độ sáng (VD: "Đang dùng độ sáng theo lịch").</t>
  </si>
  <si>
    <t>Slider Độ sáng hiển thị đúng giá trị % hiện tại kèm trạng thái nguồn.</t>
  </si>
  <si>
    <t>TC-MUL-UI-14</t>
  </si>
  <si>
    <t>Kéo Slider "Độ sáng" thay đổi giá trị và ghi đè độ sáng mặc định.</t>
  </si>
  <si>
    <t>Slider Độ sáng đang hiển thị.</t>
  </si>
  <si>
    <t>1. Kéo thanh trượt sang giá trị khác.</t>
  </si>
  <si>
    <t>Giá trị độ sáng cập nhật và ghi đè độ sáng mặc định cho đến khi có thay đổi tiếp theo.</t>
  </si>
  <si>
    <t xml:space="preserve">Đã thử tự động hóa bằng phím mũi tên (đổi 50%→51%) nhưng bước khôi phục lại giá trị gốc KHÔNG ổn định qua nhiều lần chạy (có lần kẹt lại ở 51% trên thiết bị LED thật, phải chỉnh tay lại) - quá rủi ro để chạy tự động không giám sát. Xác nhận được: thao tác kéo/nhấn phím CÓ làm đổi độ sáng thật ngay lập tức. </t>
  </si>
  <si>
    <t xml:space="preserve">Hiện tại check thì ổn nhưng cần phải theo dõi thêm, vì đang chỉ quay sát trụ qua cam </t>
  </si>
  <si>
    <t>TC-MUL-UI-15</t>
  </si>
  <si>
    <t>Khối "Thiết bị" hiển thị đúng tên model (A3L) và tên đầy đủ thiết bị.</t>
  </si>
  <si>
    <t>1. Quan sát khối "Thiết bị" trong panel Cài đặt hiển thị.</t>
  </si>
  <si>
    <t>Hiển thị "A3L" và "A3L-StreetLight-Display-01" cùng mã thiết bị và trạng thái TRỰC TUYẾN.</t>
  </si>
  <si>
    <t>Khối Thiết bị hiển thị đúng tên model, tên đầy đủ và trạng thái.</t>
  </si>
  <si>
    <t>TC-MUL-UI-16</t>
  </si>
  <si>
    <t>Nút "Đồng bộ A3L" mở popup xác nhận trước khi thực thi đồng bộ.</t>
  </si>
  <si>
    <t>Thiết bị Trực tuyến.</t>
  </si>
  <si>
    <t>1. Click nút "Đồng bộ A3L".
2. Quan sát popup xác nhận (KHÔNG bấm nút xác nhận đồng bộ - chỉ bấm Hủy để không tác động thiết bị thật).</t>
  </si>
  <si>
    <t>Spec yêu cầu popup hiển thị đúng text: "Đồng bộ thiết bị / Bạn có chắc chắn muốn đồng bộ dữ liệu thiết bị không?"</t>
  </si>
  <si>
    <t>Popup xác nhận Đồng bộ A3L khớp text spec.</t>
  </si>
  <si>
    <t>TC-MUL-UI-17</t>
  </si>
  <si>
    <t>Đồng bộ NỘI DUNG không còn popup xác nhận trước khi chạy - thực thi ngay rồi trả về popup "Kết quả đồng bộ"; với nội dung đã tồn tại, kết quả ghi "Đã bỏ qua"/"ĐÃ CÓ SẴN", xác nhận hành vi thật là GIỮ NGUYÊN chứ không GHI ĐÈ.</t>
  </si>
  <si>
    <t>Có ít nhất 1 nội dung trong Thư viện phát.</t>
  </si>
  <si>
    <t>1. Click nút "Đồng bộ" trên 1 dòng nội dung đã ở trạng thái Đã đồng bộ (an toàn, không đổi dữ liệu vì server sẽ bỏ qua).
2. Đọc popup "Kết quả đồng bộ".</t>
  </si>
  <si>
    <t>Popup kết quả hiển thị rõ nội dung bị "Đã bỏ qua" kèm lý do "ĐÃ CÓ SẴN" - xác nhận hành vi thật là giữ nguyên nội dung đã tồn tại, không ghi đè như dòng mô tả cũ trong spec.</t>
  </si>
  <si>
    <t>TC-MUL-UI-18</t>
  </si>
  <si>
    <t>Nút "Khởi động lại A3L" mở popup xác nhận trước khi thực thi.</t>
  </si>
  <si>
    <t>1. Click nút "Khởi động lại A3L".
2. Quan sát popup xác nhận (KHÔNG bấm nút xác nhận khởi động lại - chỉ bấm Hủy để không reboot thiết bị thật).</t>
  </si>
  <si>
    <t>Spec yêu cầu popup hiển thị đúng text: "Khởi động lại thiết bị / Bạn có chắc chắn muốn khởi động lại thiết bị này không? Thiết bị sẽ tạm ngưng hoạt động trong vài phút."</t>
  </si>
  <si>
    <t>Popup xác nhận Khởi động lại A3L khớp text spec.</t>
  </si>
  <si>
    <t>TC-MUL-UI-19</t>
  </si>
  <si>
    <t>Nút "Khởi động lại A3L" không được thực thi khi người dùng bấm Hủy trên popup xác nhận.</t>
  </si>
  <si>
    <t>Popup xác nhận Khởi động lại đang mở.</t>
  </si>
  <si>
    <t>1. Bấm nút "Hủy" trên popup xác nhận.</t>
  </si>
  <si>
    <t>Popup đóng lại, không có request khởi động lại nào được gửi, thiết bị vẫn giữ nguyên trạng thái TRỰC TUYẾN.</t>
  </si>
  <si>
    <t>Bấm "Hủy" đóng popup, không có request khởi động lại nào được gửi - thiết bị vẫn ở trạng thái ban đầu.</t>
  </si>
  <si>
    <t>SC-MUL-UI-005</t>
  </si>
  <si>
    <t>Cấu hình phát (tóm tắt)</t>
  </si>
  <si>
    <t>TC-MUL-UI-20</t>
  </si>
  <si>
    <t>Thẻ "Cấu hình phát" hiển thị tóm tắt lịch đang chạy, lịch tiếp theo và lịch đã phát gần nhất.</t>
  </si>
  <si>
    <t>1. Quan sát khối "Cấu hình phát" ở panel bên phải.</t>
  </si>
  <si>
    <t>Hiển thị 3 mục: Lịch đang chạy (Hiện tại), Lịch tiếp theo, Lịch đã phát gần nhất kèm badge trạng thái tương ứng.</t>
  </si>
  <si>
    <t>Thẻ Cấu hình phát hiển thị đủ 3 mục tóm tắt.</t>
  </si>
  <si>
    <t>TC-MUL-UI-21</t>
  </si>
  <si>
    <t>Nút "Điều chỉnh" mở dialog "Cấu hình lịch phát" đầy đủ (Khung giờ hoạt động + Timeline + Thiết lập lịch phát).</t>
  </si>
  <si>
    <t>Khối "Cấu hình phát" đang hiển thị.</t>
  </si>
  <si>
    <t>1. Click nút "Điều chỉnh".</t>
  </si>
  <si>
    <t>Mở dialog "Cấu hình lịch phát" với đầy đủ 3 phần theo spec Screen 3.</t>
  </si>
  <si>
    <t>Dialog "Cấu hình lịch phát" mở đúng khi click Điều chỉnh.</t>
  </si>
  <si>
    <t>TC-MUL-UI-22</t>
  </si>
  <si>
    <t>Trang chính không hiển thị trực tiếp bảng "Danh sách lịch phát" đầy đủ (Tên/Loại/Thời gian/Trạng thái) như mô tả trong spec mà chỉ hiển thị 3 mục tóm tắt; danh sách đầy đủ nằm trong dialog "Điều chỉnh".</t>
  </si>
  <si>
    <t>Đã đối chiếu khối "Cấu hình phát" trên trang chính với spec mục "Danh sách lịch phát".</t>
  </si>
  <si>
    <t xml:space="preserve">1. So sánh nội dung khối "Cấu hình phát" </t>
  </si>
  <si>
    <t>Spec mô tả trang chính hiển thị danh sách lịch phát. Tất cả lịch hiện tại và sắp tới đã được cấu hình.</t>
  </si>
  <si>
    <t>SC-MUL-UI-006</t>
  </si>
  <si>
    <t>Thư viện phát</t>
  </si>
  <si>
    <t>TC-MUL-UI-23</t>
  </si>
  <si>
    <t>Khối "Thư viện phát" hiển thị danh sách nội dung đã tải lên, có tab lọc Video/Hình ảnh.</t>
  </si>
  <si>
    <t>Đã có nội dung trong thư viện.</t>
  </si>
  <si>
    <t>1. Quan sát khối "Thư viện phát".
2. Click qua lại tab "Video" và "Hình ảnh".</t>
  </si>
  <si>
    <t>Danh sách lọc đúng theo loại tệp khi chuyển tab, không lỗi console.</t>
  </si>
  <si>
    <t>Chuyển tab Video/Hình ảnh trong Thư viện phát hoạt động, không lỗi console.</t>
  </si>
  <si>
    <t>TC-MUL-UI-24</t>
  </si>
  <si>
    <t>Ô tìm kiếm nội dung theo tên hoặc loại nội dung.</t>
  </si>
  <si>
    <t>Khối Thư viện phát đang hiển thị.</t>
  </si>
  <si>
    <t>1. Quan sát ô input tìm kiếm trong khối Thư viện phát.</t>
  </si>
  <si>
    <t>Tồn tại Text Input với placeholder tìm kiếm (VD: "Tìm theo tên nội dung").</t>
  </si>
  <si>
    <t>Ô tìm kiếm nội dung hiện diện với placeholder gợi ý tìm kiếm.</t>
  </si>
  <si>
    <t>TC-MUL-UI-25</t>
  </si>
  <si>
    <t>Nút "Làm mới" đồng bộ lại danh sách nội dung từ server.</t>
  </si>
  <si>
    <t>1. Quan sát nút icon "Làm mới" (refresh) cạnh dropdown lọc trạng thái đồng bộ.</t>
  </si>
  <si>
    <t>Tồn tại nút refresh; click sẽ tải lại danh sách nội dung (không thay đổi dữ liệu, an toàn để test trực tiếp).</t>
  </si>
  <si>
    <t>Nút Làm mới (refresh icon) hiện diện cạnh dropdown lọc trạng thái đồng bộ.</t>
  </si>
  <si>
    <t>TC-MUL-UI-26</t>
  </si>
  <si>
    <t>Nút "Thêm nội dung" cho phép tải lên nội dung mới.</t>
  </si>
  <si>
    <t>1. Click nút "Thêm nội dung".</t>
  </si>
  <si>
    <t>Kích hoạt bộ chọn tệp (file picker) của hệ điều hành để người dùng chọn tệp tải lên (không mở modal trong-trang).</t>
  </si>
  <si>
    <t>Nút "Thêm nội dung" kích hoạt đúng file picker của hệ điều hành (native input[type=file]).</t>
  </si>
  <si>
    <t>TC-MUL-UI-27</t>
  </si>
  <si>
    <t>Nút "Đồng bộ A3L" (icon+text) trên từng dòng nội dung đồng bộ riêng lẻ nội dung đó xuống thiết bị.</t>
  </si>
  <si>
    <t>Danh sách nội dung đang hiển thị.</t>
  </si>
  <si>
    <t>1. Quan sát nút "Đồng bộ" trên từng dòng nội dung trong danh sách.</t>
  </si>
  <si>
    <t>Mỗi dòng nội dung có nút icon+text "Đồng bộ" riêng biệt. Không chủ động click để tránh gửi lệnh đồng bộ thật xuống thiết bị production.</t>
  </si>
  <si>
    <t>Xác nhận qua kiểm tra cấu trúc: mỗi dòng nội dung trong danh sách có nút "Đồng bộ" riêng biệt. Không chủ động click để tránh gửi lệnh đồng bộ thật xuống thiết bị production.</t>
  </si>
  <si>
    <t>TC-MUL-UI-28</t>
  </si>
  <si>
    <t>Nút Xóa nội dung trong thư viện có popup xác nhận trước khi xóa.</t>
  </si>
  <si>
    <t>Mở popup chi tiết một nội dung (Xem).</t>
  </si>
  <si>
    <t>1. Trong popup chi tiết nội dung, click nút "Xóa".
2. Quan sát popup xác nhận (KHÔNG bấm xác nhận xóa thật - chỉ bấm Hủy).</t>
  </si>
  <si>
    <t>Spec yêu cầu popup hiển thị: "Xác nhận xóa / Bạn có chắc chắn muốn xóa tệp này? Hành động này không thể hoàn tác".</t>
  </si>
  <si>
    <t>[Đã đính chính] Popup xác nhận Xóa khớp đúng text spec: "Xác nhận xóa Bạn có chắc chắn muốn xóa tệp này? Hành động này không thể hoàn tác. Hủy Xóa".</t>
  </si>
  <si>
    <t>TC-MUL-UI-29</t>
  </si>
  <si>
    <t>Phân trang Thư viện phát hoạt động đúng.</t>
  </si>
  <si>
    <t>Thư viện phát có nhiều hơn 1 trang dữ liệu (hoặc chỉ 1 trang).</t>
  </si>
  <si>
    <t>1. Quan sát/thao tác điều khiển phân trang dưới danh sách nội dung.</t>
  </si>
  <si>
    <t>Hiển thị đúng "Trang x/y · n mục" và cho phép chuyển trang khi có nhiều hơn 1 trang.</t>
  </si>
  <si>
    <t>Phân trang Thư viện phát hiển thị đúng định dạng "Trang x/y · n mục".</t>
  </si>
  <si>
    <t>SC-MUL-UI-007</t>
  </si>
  <si>
    <t>Giám sát lỗi &amp; sự kiện</t>
  </si>
  <si>
    <t>TC-MUL-UI-30</t>
  </si>
  <si>
    <t>Khối "Giám sát lỗi và sự kiện" hiển thị danh sách sự kiện theo thời gian giảm dần.</t>
  </si>
  <si>
    <t>Đã có sự kiện phát sinh.</t>
  </si>
  <si>
    <t>1. Quan sát danh sách sự kiện, so sánh thời gian giữa các dòng liên tiếp.</t>
  </si>
  <si>
    <t>Sự kiện mới nhất hiển thị trên cùng, thời gian giảm dần theo thứ tự từ trên xuống.</t>
  </si>
  <si>
    <t>Khối Giám sát lỗi và sự kiện hiển thị danh sách sự kiện.</t>
  </si>
  <si>
    <t>TC-MUL-UI-31</t>
  </si>
  <si>
    <t>Định dạng "Thời gian ghi nhận" của mỗi sự kiện đúng chuẩn dd/MM/yyyy HH:mm:ss.</t>
  </si>
  <si>
    <t>Danh sách sự kiện đang hiển thị.</t>
  </si>
  <si>
    <t>1. Đọc timestamp của một sự kiện bất kỳ trong danh sách.</t>
  </si>
  <si>
    <t>Theo spec, định dạng phải là dd/MM/yyyy HH:mm:ss (24 giờ).</t>
  </si>
  <si>
    <t>Định dạng thời gian khớp dd/MM/yyyy HH:mm:ss (24h) theo spec.</t>
  </si>
  <si>
    <t>TC-MUL-UI-32</t>
  </si>
  <si>
    <t>Bộ lọc sự kiện cho phép lọc theo Tất cả / Mặt trước / Mặt sau.</t>
  </si>
  <si>
    <t>Khối Giám sát lỗi &amp; sự kiện đang hiển thị.</t>
  </si>
  <si>
    <t>1. Click lần lượt "Mặt trước", "Mặt sau", "Tất cả mặt".</t>
  </si>
  <si>
    <t>Danh sách sự kiện lọc lại theo đúng lựa chọn, không lỗi console/network.</t>
  </si>
  <si>
    <t>Bộ lọc sự kiện Tất cả/Mặt trước/Mặt sau chuyển đổi không lỗi console/network.</t>
  </si>
  <si>
    <t>TC-MUL-UI-33</t>
  </si>
  <si>
    <t>Kiểm tra Bộ lọc sự kiện.</t>
  </si>
  <si>
    <t>Đã quan sát UI thật của bộ lọc sự kiện.</t>
  </si>
  <si>
    <t>1. So sánh loại control thực tế với spec (spec ghi "Dropdown").</t>
  </si>
  <si>
    <t>Nhóm Segmented Button (Tất cả mặt/Mặt trước/Mặt sau). Chức năng lọc tương đương các trường : Tất cả nhóm, Tất cả mức độ, từ thời điểm - đến thời điểm. Khi người dùng chọn một tùy chọn, hệ thống chỉ hiển thị các bản ghi thỏa mãn điều kiện tương ứng; chọn Tất cả mặt sẽ hiển thị toàn bộ dữ liệu.</t>
  </si>
  <si>
    <t>SC-MUL-UI-008</t>
  </si>
  <si>
    <t>Popup chi tiết nội dung</t>
  </si>
  <si>
    <t>TC-MUL-UI-34</t>
  </si>
  <si>
    <t>Precondition: Click vào TÊN TỆP (không còn nút "Xem" riêng) trên 1 dòng nội dung trong Thư viện phát mở đúng Popup thông tin nội dung.</t>
  </si>
  <si>
    <t>Thư viện phát có ít nhất 1 nội dung.</t>
  </si>
  <si>
    <t>1. Click trực tiếp vào tên tệp trên 1 dòng nội dung bất kỳ (nút "Xem" riêng không còn tồn tại trên UI).</t>
  </si>
  <si>
    <t>Popup mở ra hiển thị đầy đủ thông tin của nội dung được chọn.</t>
  </si>
  <si>
    <t>[Đã đính chính] Click vào tên tệp "Demo_LED.mp4" (không phải nút "Xem" - nút này không còn tồn tại) mở đúng popup chi tiết nội dung.</t>
  </si>
  <si>
    <t>TC-MUL-UI-35</t>
  </si>
  <si>
    <t>Trường "Tên nội dung" hiển thị đúng tên tệp trong tiêu đề popup.</t>
  </si>
  <si>
    <t>Popup chi tiết nội dung đang mở.</t>
  </si>
  <si>
    <t>1. Đọc tiêu đề popup.</t>
  </si>
  <si>
    <t>Tiêu đề popup trùng khớp tên tệp đã chọn trong danh sách.</t>
  </si>
  <si>
    <t>Tiêu đề popup hiển thị đúng tên tệp.</t>
  </si>
  <si>
    <t>TC-MUL-UI-36</t>
  </si>
  <si>
    <t>Trường "Loại nội dung" (Tag Video/Image/HTML) hiển thị trong popup.</t>
  </si>
  <si>
    <t>1. Tìm Tag loại nội dung trong popup.</t>
  </si>
  <si>
    <t>Spec yêu cầu hiển thị Tag phân loại nội dung (Video/Image/HTML) riêng biệt trong popup.</t>
  </si>
  <si>
    <t>[So sánh spec] Loại nội dung hiển thị dưới dạng trường "Loại tệp: VIDEO/..." trong panel Thông tin chi tiết, không phải Tag màu riêng biệt cạnh tiêu đề như spec mô tả - cùng thông tin, khác cách trình bày.</t>
  </si>
  <si>
    <t>TC-MUL-UI-37</t>
  </si>
  <si>
    <t>Trường "Dung lượng" hiển thị đúng dung lượng tệp.</t>
  </si>
  <si>
    <t>1. Đọc trường "Size/Dung lượng" trong popup.</t>
  </si>
  <si>
    <t>Hiển thị dung lượng tệp (VD: 11.5 MB), khớp với giá trị trên danh sách Thư viện phát.</t>
  </si>
  <si>
    <t>Trường Dung lượng hiển thị đúng trong popup.</t>
  </si>
  <si>
    <t>TC-MUL-UI-38</t>
  </si>
  <si>
    <t>Trường "Ngày tải lên" hiển thị trong popup.</t>
  </si>
  <si>
    <t>1. Tìm trường ngày tải lên trong popup.</t>
  </si>
  <si>
    <t>Spec yêu cầu popup hiển thị "Ngày tải lên" của nội dung.</t>
  </si>
  <si>
    <t>Trường Ngày tải lên hiển thị trong popup.</t>
  </si>
  <si>
    <t>TC-MUL-UI-39</t>
  </si>
  <si>
    <t>Status Badge "Trạng thái triển khai" hiển thị Đã đồng bộ / Chưa đồng bộ.</t>
  </si>
  <si>
    <t>1. Đọc badge trạng thái trong popup.</t>
  </si>
  <si>
    <t>Badge hiển thị đúng 1 trong 2 trạng thái: Đã đồng bộ hoặc Chưa đồng bộ, khớp dữ liệu thực tế của tệp.</t>
  </si>
  <si>
    <t>Badge Trạng thái triển khai hiển thị đúng.</t>
  </si>
  <si>
    <t>TC-MUL-UI-40</t>
  </si>
  <si>
    <t>Media Preview cho phép phát thử (play) nội dung video ngay trong popup.</t>
  </si>
  <si>
    <t>Nội dung được chọn là loại Video.</t>
  </si>
  <si>
    <t>1. Quan sát khung Preview trong popup.
2. Kiểm tra có thanh điều khiển play/pause/timeline hay không (không nhất thiết phải bấm play).</t>
  </si>
  <si>
    <t>Hiển thị trình phát video HTML5 với đầy đủ control (play/pause/seek/fullscreen).</t>
  </si>
  <si>
    <t>Media Preview hiển thị HTML5 video player với đầy đủ control play/pause/seek/fullscreen.</t>
  </si>
  <si>
    <t>TC-MUL-UI-41</t>
  </si>
  <si>
    <t>Information Panel "Thông tin chi tiết" hiển thị đủ: tên tệp, loại tệp, dung lượng, thời lượng, đường dẫn lưu trữ, ngày tải lên.</t>
  </si>
  <si>
    <t>1. Tìm panel "Thông tin chi tiết" đầy đủ 6 trường theo spec trong popup.</t>
  </si>
  <si>
    <t>Panel hiển thị đủ 6 trường: tên tệp, loại tệp, dung lượng, thời lượng, đường dẫn lưu trữ, ngày tải lên.</t>
  </si>
  <si>
    <t>Panel Thông tin chi tiết hiển thị đủ 6 trường theo spec.</t>
  </si>
  <si>
    <t>TC-MUL-UI-42</t>
  </si>
  <si>
    <t>Trường "Mô tả" (Textarea) hiển thị và cho phép cập nhật.</t>
  </si>
  <si>
    <t>1. Quan sát ô Mô tả trong popup.
2. Xác nhận có nút "Lưu" đi kèm để cập nhật mô tả.</t>
  </si>
  <si>
    <t>Ô Mô tả là Textarea có thể chỉnh sửa, đi kèm nút "Lưu" để cập nhật.</t>
  </si>
  <si>
    <t>Ô Mô tả (Textarea) và nút Lưu hiện diện.</t>
  </si>
  <si>
    <t>TC-MUL-UI-43</t>
  </si>
  <si>
    <t>Nút "Đồng bộ"  trong popup triển khai nội dung xuống thiết bị nếu chưa tồn tại.</t>
  </si>
  <si>
    <t>Popup chi tiết nội dung đang mở với nội dung ở trạng thái "Chưa đồng bộ".</t>
  </si>
  <si>
    <t>1. Tìm nút "Đồng bộ" trong popup khi nội dung chưa được đồng bộ.</t>
  </si>
  <si>
    <t>Nút "Đồng bộ" (Primary) hiển thị khi nội dung Chưa đồng bộ; ẩn  khi nội dung Đã đồng bộ.</t>
  </si>
  <si>
    <t>TC-MUL-UI-44</t>
  </si>
  <si>
    <t>Nút "Tải xuống" (Secondary Button) tải tệp gốc về máy người dùng.</t>
  </si>
  <si>
    <t>1. Tìm nút/link "Tải xuống" trong popup.</t>
  </si>
  <si>
    <t>Tồn tại nút/liên kết "Tải xuống" trỏ tới tệp gốc trên Content Management.</t>
  </si>
  <si>
    <t>Nút/liên kết Tải xuống hiện diện.</t>
  </si>
  <si>
    <t>Lúc nhấn xóa hệ thống hơi chậm ( ~5-6s)</t>
  </si>
  <si>
    <t>TC-MUL-UI-45</t>
  </si>
  <si>
    <t>Nút "Xóa tệp" (Danger Button) có popup xác nhận; tuy nhiên khi thực sự xác nhận xóa, hệ thống KHÔNG hiển thị thông báo xóa thành công và card của tệp vừa xóa vẫn còn hiển thị trong danh sách sau khi đóng popup</t>
  </si>
  <si>
    <t xml:space="preserve">1. Click nút "Xóa tệp" </t>
  </si>
  <si>
    <t xml:space="preserve">Mở popup xác nhận xóa đúng text spec; nếu nội dung đang được lịch phát nào tham chiếu, hệ thống phải chặn xóa với thông báo lỗi tương ứng. </t>
  </si>
  <si>
    <t>TC-MUL-UI-46</t>
  </si>
  <si>
    <t>Nút "Đóng" (Close, icon X) đóng popup và quay lại màn hình Multimedia Control Center.</t>
  </si>
  <si>
    <t>1. Click icon "Close" (X) góc trên phải popup.</t>
  </si>
  <si>
    <t>Popup đóng lại, người dùng quay về màn hình Multimedia Control Center, dữ liệu trang chính không bị mất.</t>
  </si>
  <si>
    <t>Nút Đóng (X) đóng popup đúng, quay về trang Multimedia Control Center.</t>
  </si>
  <si>
    <t>SC-MUL-UI-009</t>
  </si>
  <si>
    <t>Dialog Cấu hình lịch phát - Khung giờ hoạt động</t>
  </si>
  <si>
    <t>TC-MUL-UI-47</t>
  </si>
  <si>
    <t>Dialog "Cấu hình lịch phát" hiển thị section "Khung giờ hoạt động".</t>
  </si>
  <si>
    <t>Dialog cấu hình lịch phát đang mở (từ nút Điều chỉnh).</t>
  </si>
  <si>
    <t>1. Quan sát section đầu tiên của dialog.</t>
  </si>
  <si>
    <t>Hiển thị section "KHUNG GIỜ HOẠT ĐỘNG" với các trường cấu hình liên quan.</t>
  </si>
  <si>
    <t>Section Khung giờ hoạt động hiển thị đúng.</t>
  </si>
  <si>
    <t>TC-MUL-UI-48</t>
  </si>
  <si>
    <t>Time Picker "Giờ bắt đầu" và "Giờ kết thúc" hiển thị đầy đủ.</t>
  </si>
  <si>
    <t>Section Khung giờ hoạt động đang hiển thị.</t>
  </si>
  <si>
    <t>1. Tìm 2 trường Time Picker Giờ bắt đầu / Giờ kết thúc.</t>
  </si>
  <si>
    <t>Tồn tại 2 Time Picker: Giờ bắt đầu, Giờ kết thúc.</t>
  </si>
  <si>
    <t>Time Picker Giờ bắt đầu/Giờ kết thúc hiển thị đủ.</t>
  </si>
  <si>
    <t>TC-MUL-UI-49</t>
  </si>
  <si>
    <t>Validation: Giờ bắt đầu phải nhỏ hơn Giờ kết thúc.</t>
  </si>
  <si>
    <t>1. Nhập Giờ bắt đầu lớn hơn Giờ kết thúc và thử Lưu cấu hình (thực hiện trên form, không submit thật nếu ảnh hưởng dữ liệu production).</t>
  </si>
  <si>
    <t>Hệ thống chặn lưu và hiển thị lỗi validation khi Giờ bắt đầu &gt;= Giờ kết thúc.</t>
  </si>
  <si>
    <t>Không submit trực tiếp trên dữ liệu production để tránh làm sai lệch cấu hình khung giờ hoạt động thật của thiết bị. Cần QA thủ công xác nhận trên môi trường staging.</t>
  </si>
  <si>
    <t>MANUAL</t>
  </si>
  <si>
    <t>Đang trao đổi với BA</t>
  </si>
  <si>
    <t>TC-MUL-UI-50</t>
  </si>
  <si>
    <t>Dropdown "Ngoài giờ hoạt động" (Chính sách ngoài giờ) có 2 tùy chọn: Tắt màn hình / Phát nội dung mặc định.</t>
  </si>
  <si>
    <t>1. Mở dropdown "Ngoài giờ hoạt động".</t>
  </si>
  <si>
    <t>Dropdown hiển thị 2 tùy chọn: "Tắt màn hình" và "Phát nội dung mặc định".</t>
  </si>
  <si>
    <t>Dropdown Ngoài giờ hoạt động hiển thị với tùy chọn Tắt màn hình.</t>
  </si>
  <si>
    <t>TC-MUL-UI-51</t>
  </si>
  <si>
    <t>Slider "Độ sáng mặc định" trong khoảng 0-100%.</t>
  </si>
  <si>
    <t>1. Quan sát Slider "Độ sáng mặc định" và giá trị hiện tại.</t>
  </si>
  <si>
    <t>Slider hiển thị giá trị % hợp lệ trong khoảng 0-100%.</t>
  </si>
  <si>
    <t>Slider Độ sáng mặc định hiển thị đúng.</t>
  </si>
  <si>
    <t>TC-MUL-UI-52</t>
  </si>
  <si>
    <t>Nút "Lưu" cấu hình Khung giờ hoạt động hiện diện.</t>
  </si>
  <si>
    <t>1. Tìm nút "Lưu" trong section Khung giờ hoạt động.</t>
  </si>
  <si>
    <t>Tồn tại nút "Lưu" cho phép lưu cấu hình Khung giờ hoạt động sau khi kiểm tra dữ liệu hợp lệ.</t>
  </si>
  <si>
    <t>Nút Lưu cấu hình Khung giờ hoạt động hiện diện.</t>
  </si>
  <si>
    <t>SC-MUL-UI-010</t>
  </si>
  <si>
    <t>Dialog Cấu hình lịch phát - Timeline</t>
  </si>
  <si>
    <t>TC-MUL-UI-53</t>
  </si>
  <si>
    <t>Section "Timeline lịch phát" hiển thị Date Picker và Segment "Ngày/Tuần".</t>
  </si>
  <si>
    <t>Dialog Cấu hình lịch phát đang mở.</t>
  </si>
  <si>
    <t>1. Quan sát section Timeline lịch phát.</t>
  </si>
  <si>
    <t>Hiển thị Date Picker chọn ngày và Segment Button chuyển chế độ xem Ngày / Tuần.</t>
  </si>
  <si>
    <t>Section Timeline hiển thị Date Picker và Segment Ngày/Tuần.</t>
  </si>
  <si>
    <t>TC-MUL-UI-54</t>
  </si>
  <si>
    <t>Timeline phân nhóm lịch phát theo 3 mức ưu tiên: Ưu tiên, Theo lịch, Mặc định.</t>
  </si>
  <si>
    <t>Section Timeline lịch phát đang hiển thị.</t>
  </si>
  <si>
    <t>1. Quan sát các nhóm "LỊCH ƯU TIÊN", "LỊCH THEO THỜI GIAN", "LỊCH MẶC ĐỊNH".</t>
  </si>
  <si>
    <t>Timeline hiển thị đúng 3 nhóm theo mức ưu tiên, mỗi nhóm liệt kê các lịch phát tương ứng (hoặc "Không có lịch trong nhóm này" nếu rỗng).</t>
  </si>
  <si>
    <t>Timeline phân đủ 3 nhóm theo mức ưu tiên.</t>
  </si>
  <si>
    <t>TC-MUL-UI-55</t>
  </si>
  <si>
    <t>Schedule Card hiển thị đủ thông tin: thời gian, tên lịch, màn hình phát, chế độ, trạng thái.</t>
  </si>
  <si>
    <t>Có ít nhất 1 lịch phát trong Timeline.</t>
  </si>
  <si>
    <t>1. Đọc nội dung của một Schedule Card bất kỳ.</t>
  </si>
  <si>
    <t>Card hiển thị: khung giờ (HH:mm–HH:mm), tên lịch, Tag loại lịch, Badge trạng thái, màn hình áp dụng (Cả hai mặt/Mặt trước/Mặt sau), chế độ (Đồng bộ 2 màn/Độc lập 2 màn), nút "Xem".</t>
  </si>
  <si>
    <t>Schedule Card hiển thị đủ khung giờ, tên, màn hình, chế độ, trạng thái.</t>
  </si>
  <si>
    <t>TC-MUL-UI-56</t>
  </si>
  <si>
    <t>Lịch phát qua ngày (overnight) hiển thị rõ ghi chú "kết thúc ngày kế tiếp".</t>
  </si>
  <si>
    <t>Tồn tại 1 lịch phát có khung giờ qua đêm (VD: 22:00–02:00).</t>
  </si>
  <si>
    <t>1. Tìm Schedule Card có khung giờ dạng 22:00–02:00.</t>
  </si>
  <si>
    <t>Card hiển thị rõ chú thích "(kết thúc ngày kế tiếp)" để phân biệt với lịch trong cùng ngày.</t>
  </si>
  <si>
    <t>Lịch phát qua ngày hiển thị đúng ghi chú "(kết thúc ngày kế tiếp)".</t>
  </si>
  <si>
    <t>TC-MUL-UI-57</t>
  </si>
  <si>
    <t>Lịch phát đang ở trạng thái ĐANG PHÁT hiển thị cảnh báo khóa chỉnh sửa/xóa.</t>
  </si>
  <si>
    <t>Có 1 lịch phát đang ở trạng thái ĐANG PHÁT trong Timeline.</t>
  </si>
  <si>
    <t>1. Quan sát Card của lịch đang ĐANG PHÁT.</t>
  </si>
  <si>
    <t>Hệ thống hiển thị ghi chú "Lịch đang phát bị khóa chỉnh sửa và xóa." và không cho thao tác Chỉnh sửa/Xóa trên lịch này.</t>
  </si>
  <si>
    <t>Hệ thống hiển thị đúng ghi chú khóa Chỉnh sửa/Xóa cho lịch đang phát.</t>
  </si>
  <si>
    <t>TC-MUL-UI-58</t>
  </si>
  <si>
    <t>Click vào Schedule Card mở xem chi tiết lịch phát.</t>
  </si>
  <si>
    <t>Timeline có ít nhất 1 lịch phát không ở trạng thái ĐANG PHÁT.</t>
  </si>
  <si>
    <t>1. Click nút "Xem" trên 1 Schedule Card.</t>
  </si>
  <si>
    <t>Mở thông tin chi tiết đầy đủ của lịch phát được chọn (không submit/thay đổi dữ liệu).</t>
  </si>
  <si>
    <t>Nút "Xem" trên Schedule Card hiện diện để mở chi tiết.</t>
  </si>
  <si>
    <t>TC-MUL-UI-59</t>
  </si>
  <si>
    <t>Nút "Chỉnh sửa" bị vô hiệu hóa (disabled) đối với lịch đang ở trạng thái ĐANG PHÁT.</t>
  </si>
  <si>
    <t>Có 1 lịch phát ĐANG PHÁT trong Timeline.</t>
  </si>
  <si>
    <t>1. Tìm nút Chỉnh sửa (icon) trên Card của lịch ĐANG PHÁT.</t>
  </si>
  <si>
    <t>Nút Chỉnh sửa bị disable hoặc ẩn đối với lịch đang chạy</t>
  </si>
  <si>
    <t>TC-MUL-UI-60</t>
  </si>
  <si>
    <t>Nút "Xóa" bị vô hiệu hóa (disabled) đối với lịch đang ở trạng thái ĐANG PHÁT.</t>
  </si>
  <si>
    <t>1. Tìm nút Xóa (icon) trên Card của lịch ĐANG PHÁT.</t>
  </si>
  <si>
    <t>Nút Xóa bị disable hoặc ẩn đối với lịch đang chạy, theo đúng Validation rule của spec.</t>
  </si>
  <si>
    <t>Xác nhận thuộc tính disabled=true trên nút "Xóa" (aria-label="Xóa") của Schedule Card đang ĐANG PHÁT - đúng validation rule spec (kiểm tra qua DOM attribute, không click thật).</t>
  </si>
  <si>
    <t>TC-MUL-UI-61</t>
  </si>
  <si>
    <t>Không cho phép hai lịch cùng mức ưu tiên chồng thời gian trên cùng màn hình</t>
  </si>
  <si>
    <t>Đã có 2 lịch "Theo lịch" hiện hữu là Peak-Hour-Schedule-Test (07:00-09:00) và Scheduled-Main (12:00-14:00) trên Cả hai mặt.</t>
  </si>
  <si>
    <t>1. Điền form Thêm lịch phát với thời gian 08:00-08:30, mức ưu tiên "Theo lịch", màn hình "Cả hai mặt" (KHÔNG bấm "Thêm lịch phát" để tránh tạo dữ liệu thật).</t>
  </si>
  <si>
    <t>Theo spec, hệ thống phải phát hiện xung đột với Peak-Hour-Schedule-Test (07:00-09:00) và chặn lưu, hiển thị thông báo xung đột.</t>
  </si>
  <si>
    <t>SC-MUL-UI-011</t>
  </si>
  <si>
    <t>Dialog Cấu hình lịch phát - Thiết lập lịch phát mới</t>
  </si>
  <si>
    <t>TC-MUL-UI-62</t>
  </si>
  <si>
    <t>Section "Thêm lịch phát" hiển thị đầy đủ với tiêu đề và form nhập liệu.</t>
  </si>
  <si>
    <t>Dialog Cấu hình lịch phát đang mở, cuộn xuống cuối dialog.</t>
  </si>
  <si>
    <t>1. Cuộn tới section "Thêm lịch phát".</t>
  </si>
  <si>
    <t>Hiển thị form "Thêm lịch phát" ở cuối dialog, tách biệt với Timeline phía trên.</t>
  </si>
  <si>
    <t>Section "Thêm lịch phát" hiển thị đầy đủ ở cuối dialog.</t>
  </si>
  <si>
    <t>TC-MUL-UI-63</t>
  </si>
  <si>
    <t>Trường "Tên lịch phát" (Text Input) là bắt buộc nhập.</t>
  </si>
  <si>
    <t>Form Thêm lịch phát đang hiển thị.</t>
  </si>
  <si>
    <t>1. Tìm trường "Tên lịch phát".</t>
  </si>
  <si>
    <t>Tồn tại Text Input "Tên lịch phát", đánh dấu là trường bắt buộc.</t>
  </si>
  <si>
    <t>Trường Tên lịch phát hiện diện trong form.</t>
  </si>
  <si>
    <t>TC-MUL-UI-64</t>
  </si>
  <si>
    <t>Dropdown "Chế độ màn hình" có đủ 3 chế độ: Đồng bộ hai màn hình, Độc lập hai màn hình, Một màn hình.</t>
  </si>
  <si>
    <t>1. Mở dropdown "Chế độ màn hình" và liệt kê các tùy chọn.</t>
  </si>
  <si>
    <t>Dropdown có đủ 3 tùy chọn theo spec: Đồng bộ 2 màn, Độc lập 2 màn, Một màn hình.</t>
  </si>
  <si>
    <t>Đã mở dropdown thật và xác nhận đủ 3 tùy chọn: Đồng bộ 2 màn | Độc lập 2 màn | Chỉ 1 màn. [So sánh spec] Nhãn tùy chọn thứ 3 thực tế là "Chỉ 1 màn", khác nhãn spec ("Một màn hình") - cùng chức năng, chỉ khác wording.</t>
  </si>
  <si>
    <t>TC-MUL-UI-65</t>
  </si>
  <si>
    <t>Chọn chế độ "Một màn hình" hiển thị thêm Dropdown "Màn hình phát" (Mặt trước/Mặt sau) bắt buộc chọn.</t>
  </si>
  <si>
    <t>1. Chọn "Một màn hình" trong dropdown Chế độ màn hình.
2. Quan sát dropdown "Màn hình phát" xuất hiện.</t>
  </si>
  <si>
    <t>Dropdown "Màn hình phát" chỉ hiện khi chọn "Một màn hình", với 2 lựa chọn Mặt trước/Mặt sau.</t>
  </si>
  <si>
    <t>THAO TÁC THẬT: chọn "Một màn hình" trong dropdown Chế độ màn hình - dropdown chọn màn hình (nhãn thật: "Màn hình áp dụng*", khác wording spec "Màn hình phát" nhưng đúng chức năng: Mặt trước/Mặt sau) xuất hiện đúng ngay sau khi chọn (không submit form).</t>
  </si>
  <si>
    <t>TC-MUL-UI-66</t>
  </si>
  <si>
    <t>Content Selector "Nội dung phát - Mặt trước" cho phép chọn nhiều nội dung, phát tuần tự theo thứ tự cấu hình.</t>
  </si>
  <si>
    <t>1. Quan sát khối "Nội dung phát" (Nội dung 1) với dropdown "Chọn nội dung đã đồng bộ".</t>
  </si>
  <si>
    <t>Cho phép cấu hình 1 hoặc nhiều nội dung/dòng cho màn hình, giữ đúng thứ tự phát tuần tự.</t>
  </si>
  <si>
    <t>Content Selector Nội dung phát hiển thị đúng.</t>
  </si>
  <si>
    <t>TC-MUL-UI-67</t>
  </si>
  <si>
    <t>Nút "Thêm nội dung" thêm dòng nội dung mới cho màn hình tương ứng.</t>
  </si>
  <si>
    <t>1. Click nút "Thêm nội dung" trong khối Nội dung phát.</t>
  </si>
  <si>
    <t>Thêm một dòng "Nội dung N+1" mới vào danh sách nội dung phát của màn hình.</t>
  </si>
  <si>
    <t>Nút Thêm nội dung hiện diện.</t>
  </si>
  <si>
    <t>TC-MUL-UI-68</t>
  </si>
  <si>
    <t>Icon Button xóa nội dung loại bỏ đúng dòng nội dung khỏi danh sách phát.</t>
  </si>
  <si>
    <t>Đã có ít nhất 2 dòng nội dung phát trong form.</t>
  </si>
  <si>
    <t>1. Click icon xóa trên 1 dòng nội dung.</t>
  </si>
  <si>
    <t>Dòng nội dung tương ứng bị loại khỏi danh sách, các dòng còn lại giữ nguyên thứ tự.</t>
  </si>
  <si>
    <t>TC-MUL-UI-69</t>
  </si>
  <si>
    <t>Content Selector "Nội dung phát - Mặt sau" chỉ hiện khi chọn chế độ Độc lập hai màn hình.</t>
  </si>
  <si>
    <t>1. Chọn "Độc lập 2 màn" trong dropdown Chế độ màn hình.
2. Quan sát khối Nội dung phát - Mặt sau xuất hiện.</t>
  </si>
  <si>
    <t>Khối "Nội dung phát - Mặt sau" chỉ hiển thị khi chế độ là Độc lập hai màn hình, ẩn ở 2 chế độ còn lại.</t>
  </si>
  <si>
    <t>THAO TÁC THẬT: chọn "Độc lập 2 màn" - khối "Nội dung phát - Mặt sau" xuất hiện đúng (không submit form).</t>
  </si>
  <si>
    <t>TC-MUL-UI-70</t>
  </si>
  <si>
    <t>Trường "Ngày bắt đầu" và "Ngày kết thúc" (Date Picker) thiết lập phạm vi áp dụng lịch phát.</t>
  </si>
  <si>
    <t>1. Tìm 2 Date Picker phạm vi ngày trong form.</t>
  </si>
  <si>
    <t>Tồn tại 2 Date Picker cho phạm vi ngày áp dụng lịch phát.</t>
  </si>
  <si>
    <t>Date Picker phạm vi ngày hiện diện đầy đủ.</t>
  </si>
  <si>
    <t>TC-MUL-UI-71</t>
  </si>
  <si>
    <t xml:space="preserve"> Nhãn trường phạm vi ngày </t>
  </si>
  <si>
    <t>So sánh nhãn UI thật với spec mục "Ngày bắt đầu"/"Ngày kết thúc".</t>
  </si>
  <si>
    <t>1. So sánh nhãn 2 Date Picker phạm vi ngày trên UI thật với spec.</t>
  </si>
  <si>
    <t xml:space="preserve">Hiện thị text  Ngày bắt đầu"/"Ngày kết thúc. Cho chọn ngày đúng với </t>
  </si>
  <si>
    <t>Xác nhận nhãn thực tế là "Ngày bắt đầu"/"Ngày kết thúc", khác với spec ("Từ ngày"/"Đến ngày") - chỉ khác thuật ngữ, cùng chức năng.</t>
  </si>
  <si>
    <t>TC-MUL-UI-72</t>
  </si>
  <si>
    <t>Khung giờ phát (Time Picker) hỗ trợ lịch phát qua ngày (overnight), ví dụ 22:00→02:00.</t>
  </si>
  <si>
    <t>1. Quan sát khối "Khung giờ" và nút "Thêm khung giờ".</t>
  </si>
  <si>
    <t>Cho phép thiết lập khung giờ kéo dài qua ngày kế tiếp; Playback Engine tự xác định thời điểm kết thúc thuộc ngày kế tiếp.</t>
  </si>
  <si>
    <t>Khối Khung giờ hỗ trợ overnight hiện diện.</t>
  </si>
  <si>
    <t>TC-MUL-UI-73</t>
  </si>
  <si>
    <t>Form thực tế hỗ trợ nhiều khung giờ (multi timeslot) trên 1 lịch phát qua nút "Thêm khung giờ"</t>
  </si>
  <si>
    <t>Đã quan sát nút "Thêm khung giờ" trong form Thêm lịch phát.</t>
  </si>
  <si>
    <t xml:space="preserve">1. Quan sát khối "Khung giờ" và nút "Thêm khung giờ".
2. Nhấn thêm khung giờ </t>
  </si>
  <si>
    <t xml:space="preserve">Cho phép cấu hình NHIỀU khung giờ cho cùng 1 lịch phát </t>
  </si>
  <si>
    <t>TC-MUL-UI-74</t>
  </si>
  <si>
    <t>Week Selector "Ngày lặp" hiển thị đủ 7 ngày (CN-T7), không áp dụng cho lịch Mặc định.</t>
  </si>
  <si>
    <t>1. Quan sát khối "Ngày lặp" với 7 nút CN, T2, T3, T4, T5, T6, T7.</t>
  </si>
  <si>
    <t>Hiển thị đủ 7 lựa chọn ngày trong tuần; khối này ẩn/disable khi Mức ưu tiên = Mặc định.</t>
  </si>
  <si>
    <t>Week Selector Ngày lặp hiển thị đủ 7 ngày CN-T7.</t>
  </si>
  <si>
    <t>TC-MUL-UI-75</t>
  </si>
  <si>
    <t>Dropdown "Mức độ ưu tiên" có đủ 3 lựa chọn: Mặc định, Theo lịch, Ưu tiên.</t>
  </si>
  <si>
    <t>1. Mở dropdown "Mức độ ưu tiên" và liệt kê tùy chọn.</t>
  </si>
  <si>
    <t>Dropdown có đủ 3 mức: Mặc định (Level 1), Theo lịch (Level 2), Ưu tiên (Level 3).</t>
  </si>
  <si>
    <t>Dropdown Mức độ ưu tiên hiện diện nhưng không mở được để liệt kê tùy chọn qua tự động hóa.</t>
  </si>
  <si>
    <t>TC-MUL-UI-76</t>
  </si>
  <si>
    <t>Slider "Độ sáng riêng của lịch" (tùy chọn) ghi đè Độ sáng mặc định trong thời gian lịch có hiệu lực.</t>
  </si>
  <si>
    <t>1. Quan sát Slider "Độ sáng riêng của lịch (tùy chọn)".</t>
  </si>
  <si>
    <t>Slider hiển thị giá trị 0-100%, được đánh dấu là trường tùy chọn (không bắt buộc).</t>
  </si>
  <si>
    <t>Thiếu Slider Độ sáng riêng.</t>
  </si>
  <si>
    <t>TC-MUL-UI-77</t>
  </si>
  <si>
    <t>Nút "Hủy bỏ" đóng dialog mà không lưu dữ liệu đang nhập.</t>
  </si>
  <si>
    <t>Form Thêm lịch phát đã nhập một số dữ liệu.</t>
  </si>
  <si>
    <t>1. Nhập dữ liệu vào trường Tên lịch phát.
2. Click nút "Hủy".</t>
  </si>
  <si>
    <t>Dialog đóng (hoặc form reset), dữ liệu vừa nhập không được lưu, không có lịch phát mới nào được tạo.</t>
  </si>
  <si>
    <t>Nút Hủy hiện diện; hành vi đóng form không lưu dữ liệu suy ra từ cấu trúc form chuẩn (không submit thật để kiểm chứng nhằm tránh tạo dữ liệu rác).</t>
  </si>
  <si>
    <t>TC-MUL-UI-78</t>
  </si>
  <si>
    <t>Validation: Tên lịch phát bắt buộc - không cho submit khi để trống.</t>
  </si>
  <si>
    <t>Form Thêm lịch phát để trống trường Tên lịch phát.</t>
  </si>
  <si>
    <t>1. Để trống Tên lịch phát, điền tối thiểu các trường khác.
2. Click "Thêm lịch phát" (nếu form validate client-side trước khi gọi API, có thể test an toàn; nếu không chắc chắn, không submit trên production).</t>
  </si>
  <si>
    <t>Hệ thống chặn submit và báo lỗi "Tên lịch phát là bắt buộc" khi trường này trống.</t>
  </si>
  <si>
    <t>TC-MUL-UI-79</t>
  </si>
  <si>
    <t>Validation: Ít nhất một nội dung phát phải được cấu hình cho mỗi màn hình được chọn.</t>
  </si>
  <si>
    <t>Form Thêm lịch phát: đã chọn Chế độ màn hình nhưng chưa chọn nội dung phát nào.</t>
  </si>
  <si>
    <t>1. Chọn Chế độ màn hình, không cấu hình nội dung phát.
2. Thử submit (không thực hiện trên production, chỉ xác nhận trạng thái nút disable/validate).</t>
  </si>
  <si>
    <t>Hệ thống chặn submit khi thiếu nội dung phát cho màn hình đã chọn.</t>
  </si>
  <si>
    <t>TC-MUL-UI-80</t>
  </si>
  <si>
    <t>Validation: lịch phát phải nằm trong Khung giờ hoạt động của thiết bị.</t>
  </si>
  <si>
    <t>Khung giờ hoạt động thiết bị đã cấu hình (VD 07:00-22:00).</t>
  </si>
  <si>
    <t>1. Thiết lập lịch phát với khung giờ nằm ngoài Khung giờ hoạt động (không submit thật).</t>
  </si>
  <si>
    <t>Hệ thống cảnh báo/chặn khi khung giờ lịch phát nằm ngoài Khung giờ hoạt động đã cấu hình.</t>
  </si>
  <si>
    <t>Không submit trên môi trường production để tránh tạo lịch phát không hợp lệ trên thiết bị thật. Cần QA thủ công xác nhận trên staging.</t>
  </si>
  <si>
    <t>cần trao đổi v</t>
  </si>
  <si>
    <t>SC-MUL-UI-012</t>
  </si>
  <si>
    <t>Quy tắc màu sắc &amp; Badge</t>
  </si>
  <si>
    <t>TC-MUL-UI-81</t>
  </si>
  <si>
    <t>Badge trạng thái "ĐANG PHÁT" (Running) hiển thị màu Xanh lá (Green).</t>
  </si>
  <si>
    <t>Có ít nhất 1 lịch phát ở trạng thái ĐANG PHÁT.</t>
  </si>
  <si>
    <t>1. Lấy màu nền (computed background-color) của badge "ĐANG PHÁT".</t>
  </si>
  <si>
    <t>Badge trạng thái Đang phát có tông màu xanh lá (green), khớp quy tắc màu spec.</t>
  </si>
  <si>
    <t>Màu nền computed của badge "ĐANG PHÁT": rgba(16, 185, 129, 0.1) - tông xanh lá, khớp spec.</t>
  </si>
  <si>
    <t>Visual</t>
  </si>
  <si>
    <t>TC-MUL-UI-82</t>
  </si>
  <si>
    <t>Badge trạng thái "SẮP PHÁT" (Pending) hiển thị màu Xanh dương (Blue).</t>
  </si>
  <si>
    <t>Có ít nhất 1 lịch phát ở trạng thái SẮP PHÁT.</t>
  </si>
  <si>
    <t>1. Lấy màu nền (computed background-color) của badge "SẮP PHÁT".</t>
  </si>
  <si>
    <t>Badge trạng thái Sắp phát/Đang chờ có tông màu xanh dương (blue), khớp quy tắc màu spec.</t>
  </si>
  <si>
    <t>Màu nền computed của badge "SẮP PHÁT": rgba(24, 34, 57, 0.5) - tông xanh dương, khớp spec.</t>
  </si>
  <si>
    <t>TC-MUL-UI-83</t>
  </si>
  <si>
    <t>Badge "ĐÃ ĐỒNG BỘ" (A3L sync) hiển thị màu Xanh lá (Green).</t>
  </si>
  <si>
    <t>Có ít nhất 1 nội dung ở trạng thái Đã đồng bộ trong Thư viện phát.</t>
  </si>
  <si>
    <t>1. Lấy màu nền (computed background-color) của badge "ĐÃ ĐỒNG BỘ".</t>
  </si>
  <si>
    <t>Badge "Đã đồng bộ A3L" hiển thị màu xanh lá, khớp quy tắc màu spec.</t>
  </si>
  <si>
    <t>Màu nền computed của badge "ĐÃ ĐỒNG BỘ": rgba(16, 185, 129, 0.1) - tông xanh lá, khớp spec.</t>
  </si>
  <si>
    <t>TC-MUL-UI-84</t>
  </si>
  <si>
    <t>Màu thẻ lịch phát (Schedule Card) tương ứng đúng theo Mức ưu tiên (Xám/Xanh dương/Cam).</t>
  </si>
  <si>
    <t>Timeline có lịch phát ở đủ các mức ưu tiên (Mặc định/Theo lịch/Ưu tiên).</t>
  </si>
  <si>
    <t>1. So sánh màu viền/nền của Schedule Card giữa nhóm LỊCH MẶC ĐỊNH, LỊCH THEO THỜI GIAN, LỊCH ƯU TIÊN.</t>
  </si>
  <si>
    <t>Lịch Mặc định = Xám, Lịch Theo lịch = Xanh dương, Lịch Ưu tiên = Cam, theo đúng bảng quy tắc màu trong spec.</t>
  </si>
  <si>
    <t>Ghi nhận sự tồn tại của các nhóm màu theo mức ưu tiên trên Timeline; xác nhận trực quan qua screenshot đính kèm báo cáo (không có nhóm LỊCH ƯU TIÊN với dữ liệu tại thời điểm test để đối chiếu màu Cam đầy đủ).</t>
  </si>
  <si>
    <t>TC-MUL-UI-85</t>
  </si>
  <si>
    <t>Trạng thái "Tắt màn hình" (Screen Off, ngoài giờ hoạt động) hiển thị màu Đỏ (Red) khi áp dụng.</t>
  </si>
  <si>
    <t>Thiết bị đang ở ngoài Khung giờ hoạt động với Chính sách "Tắt màn hình" được áp dụng.</t>
  </si>
  <si>
    <t>1. Quan sát trạng thái hiển thị khi thiết bị ở ngoài khung giờ hoạt động và chính sách là Tắt màn hình.</t>
  </si>
  <si>
    <t>Trạng thái Tắt màn hình hiển thị màu đỏ theo quy tắc màu spec.</t>
  </si>
  <si>
    <t>SC-MUL-UI-013</t>
  </si>
  <si>
    <t>Quy tắc màu sắc mở rộng - Trạng thái lịch phát</t>
  </si>
  <si>
    <t>TC-MUL-UI-86</t>
  </si>
  <si>
    <t>Badge trạng thái lịch phát "Đã kết thúc" (Completed) hiển thị màu Xám (Gray).</t>
  </si>
  <si>
    <t>Timeline có ít nhất 1 lịch phát ở trạng thái Đã kết thúc.</t>
  </si>
  <si>
    <t>1. Lấy màu nền (computed background-color) của badge "ĐÃ KẾT THÚC" trong Timeline.</t>
  </si>
  <si>
    <t>Badge trạng thái Đã kết thúc có tông màu xám (gray), khớp quy tắc màu spec.</t>
  </si>
  <si>
    <t>SC-MUL-UI-015</t>
  </si>
  <si>
    <t>Quy tắc màu sắc - Trạng thái đồng bộ A3L (bổ sung)</t>
  </si>
  <si>
    <t>TC-MUL-UI-87</t>
  </si>
  <si>
    <t>Badge "CHƯA ĐỒNG BỘ" (chưa đồng bộ A3L) hiển thị màu Xám (Gray).</t>
  </si>
  <si>
    <t>Có ít nhất 1 nội dung ở trạng thái Chưa đồng bộ trong Thư viện phát.</t>
  </si>
  <si>
    <t>1. Lấy màu nền (computed background-color) của badge "CHƯA ĐỒNG BỘ".</t>
  </si>
  <si>
    <t>Badge "Chưa đồng bộ A3L" hiển thị màu xám, khớp quy tắc màu spec.</t>
  </si>
  <si>
    <t>Không thể xác nhận: mọi nội dung trong Thư viện phát tại thời điểm test đều đã ĐÃ ĐỒNG BỘ, không có badge CHƯA ĐỒNG BỘ nào để đo màu (phụ thuộc dữ liệu hiện có, không phải bug). Cần QA thủ công khi có nội dung chưa đồng bộ.</t>
  </si>
  <si>
    <t>SC-MUL-UI-016</t>
  </si>
  <si>
    <t>Quy tắc màu sắc - Giám sát lỗi &amp; sự kiện</t>
  </si>
  <si>
    <t>TC-MUL-UI-88</t>
  </si>
  <si>
    <t>Badge sự kiện "Thành công" trong khối Giám sát lỗi &amp; sự kiện hiển thị màu Xanh lá (Green).</t>
  </si>
  <si>
    <t>Có ít nhất 1 sự kiện trạng thái Thành công trong danh sách.</t>
  </si>
  <si>
    <t>1. Lấy màu nền (computed background-color) của badge sự kiện "Thành công".</t>
  </si>
  <si>
    <t>Badge Thành công hiển thị màu xanh lá, khớp quy tắc màu spec.</t>
  </si>
  <si>
    <t>Không thể xác nhận: không có sự kiện trạng thái "Thành công" trong danh sách tại thời điểm test để đo màu (phụ thuộc dữ liệu hiện có, không phải bug).</t>
  </si>
  <si>
    <t>TC-MUL-UI-89</t>
  </si>
  <si>
    <t>Badge sự kiện "Thất bại" trong khối Giám sát lỗi &amp; sự kiện hiển thị màu Đỏ (Red).</t>
  </si>
  <si>
    <t>Có ít nhất 1 sự kiện trạng thái Thất bại trong danh sách.</t>
  </si>
  <si>
    <t>1. Lấy màu nền (computed background-color) của badge sự kiện "Thất bại".</t>
  </si>
  <si>
    <t>Badge Thất bại hiển thị màu đỏ, khớp quy tắc màu spec.</t>
  </si>
  <si>
    <t>Không thể xác nhận: không có sự kiện trạng thái "Thất bại" trong danh sách tại thời điểm test để đo màu (phụ thuộc dữ liệu hiện có, không phải bug).</t>
  </si>
  <si>
    <t>SC-MUL-UI-018</t>
  </si>
  <si>
    <t>Validation Rules &amp; Error Handling - Popup nội dung</t>
  </si>
  <si>
    <t>TC-MUL-UI-90</t>
  </si>
  <si>
    <t>Không cho phép xóa nội dung đang được tham chiếu bởi bất kỳ lịch phát nào - hệ thống hiển thị lỗi "Không thể xóa nội dung vì đang được sử dụng trong lịch phát."</t>
  </si>
  <si>
    <t>Chọn 1 nội dung đang được ít nhất 1 lịch phát tham chiếu, mở popup chi tiết, bấm Xóa và xác nhận xóa.</t>
  </si>
  <si>
    <t>1. Xác định 1 nội dung đang được dùng trong lịch phát.
2. Mở popup, bấm Xóa, xác nhận xóa (không thực hiện trên dữ liệu production nếu không xác định chắc chắn nội dung không được tham chiếu).</t>
  </si>
  <si>
    <t>Hệ thống chặn xóa và hiển thị thông báo lỗi "Không thể xóa nội dung vì đang được sử dụng trong lịch phát."</t>
  </si>
  <si>
    <t>TC-MUL-UI-91</t>
  </si>
  <si>
    <t>Không thể triển khai nội dung khi thiết bị A3L đang Ngoại tuyến - hệ thống hiển thị lỗi "Không thể triển khai nội dung do thiết bị đang ngoại tuyến."</t>
  </si>
  <si>
    <t>Thiết bị A3L ở trạng thái Ngoại tuyến (Offline).</t>
  </si>
  <si>
    <t>1. Với thiết bị Ngoại tuyến, mở popup nội dung Chưa đồng bộ và bấm "Đồng bộ A3L".</t>
  </si>
  <si>
    <t>Hệ thống chặn thao tác và hiển thị lỗi "Không thể triển khai nội dung do thiết bị đang ngoại tuyến."</t>
  </si>
  <si>
    <t>Không kiểm thử được tại thời điểm test: thiết bị A3L-StreetLight-Display-01 đang ở trạng thái TRỰC TUYẾN (Online), không có điều kiện Ngoại tuyến để tái hiện lỗi.</t>
  </si>
  <si>
    <t xml:space="preserve">Chưa thao tác </t>
  </si>
  <si>
    <t>SC-MUL-UI-019</t>
  </si>
  <si>
    <t>Business rule - Thứ tự ưu tiên &amp; Chính sách ngoài giờ</t>
  </si>
  <si>
    <t>TC-MUL-UI-92</t>
  </si>
  <si>
    <t>Trong Khung giờ hoạt động, Timeline hiển thị đúng thứ tự nhóm ưu tiên: Ưu tiên → Theo lịch → Mặc định (từ trên xuống).</t>
  </si>
  <si>
    <t>Dialog Cấu hình lịch phát đang mở với đủ 3 nhóm lịch.</t>
  </si>
  <si>
    <t>1. So sánh vị trí xuất hiện (thứ tự trong DOM/văn bản) của 3 tiêu đề nhóm "LỊCH ƯU TIÊN", "LỊCH THEO THỜI GIAN", "LỊCH MẶC ĐỊNH".</t>
  </si>
  <si>
    <t>Thứ tự hiển thị đúng theo mức ưu tiên xử lý của Playback Engine: Ưu tiên → Theo lịch → Mặc định.</t>
  </si>
  <si>
    <t>Xác nhận thứ tự hiển thị nhóm Timeline đúng theo mức ưu tiên: LỊCH ƯU TIÊN → LỊCH THEO THỜI GIAN → LỊCH MẶC ĐỊNH.</t>
  </si>
  <si>
    <t>TC-MUL-UI-93</t>
  </si>
  <si>
    <t>Ngoài Khung giờ hoạt động với chính sách "Tắt màn hình", thiết bị dừng phát toàn bộ nội dung và không thực hiện bất kỳ lịch phát nào.</t>
  </si>
  <si>
    <t>Thời điểm hiện tại nằm ngoài Khung giờ hoạt động đã cấu hình, chính sách ngoài giờ = Tắt màn hình.</t>
  </si>
  <si>
    <t>1. Quan sát trạng thái phát của thiết bị khi ngoài Khung giờ hoạt động với chính sách Tắt màn hình.</t>
  </si>
  <si>
    <t>Thiết bị dừng phát toàn bộ nội dung trên cả 2 màn hình, không có lịch phát nào được thực thi.</t>
  </si>
  <si>
    <t>Không kiểm thử trực tiếp: tại thời điểm test hệ thống đang trong Khung giờ hoạt động (thiết bị đang phát nội dung bình thường trên cả 2 mặt). Cần QA thủ công xác nhận ngoài khung giờ hoặc trên môi trường staging có thể chỉnh giờ hệ thống/Khung giờ hoạt động.</t>
  </si>
  <si>
    <t>TC-MUL-UI-94</t>
  </si>
  <si>
    <t>Ngoài Khung giờ hoạt động với chính sách "Phát nội dung mặc định": nếu xuất hiện Lịch Ưu tiên, hệ thống chuyển sang phát Ưu tiên rồi quay lại Playlist mặc định khi lịch Ưu tiên kết thúc.</t>
  </si>
  <si>
    <t>Ngoài Khung giờ hoạt động, chính sách = Phát nội dung mặc định, có 1 Lịch Ưu tiên có hiệu lực trong khoảng thời gian này.</t>
  </si>
  <si>
    <t>1. Quan sát nội dung đang phát khi Lịch Ưu tiên bắt đầu có hiệu lực ngoài Khung giờ hoạt động.
2. Quan sát nội dung phát lại sau khi Lịch Ưu tiên kết thúc.</t>
  </si>
  <si>
    <t>Hệ thống chuyển sang phát Lịch Ưu tiên khi có hiệu lực, sau đó quay lại Playlist mặc định khi Lịch Ưu tiên kết thúc.</t>
  </si>
  <si>
    <t>Không kiểm thử trực tiếp: cần dàn dựng kịch bản thời gian thực (ngoài giờ hoạt động + có lịch Ưu tiên đang chạy) mà tại thời điểm test không đáp ứng được (đang trong Khung giờ hoạt động bình thường). Cần QA thủ công trên môi trường staging có thể điều chỉnh giờ hệ thống.</t>
  </si>
  <si>
    <t>SC-MUL-UI-020</t>
  </si>
  <si>
    <t>Validation bổ sung - Thiết lập lịch phát</t>
  </si>
  <si>
    <t>TC-MUL-UI-96</t>
  </si>
  <si>
    <t>Hai lịch phát trên hai màn hình khác nhau (Mặt trước/Mặt sau) được phép có cùng khoảng thời gian hiệu lực, không bị coi là xung đột.</t>
  </si>
  <si>
    <t>Timeline có ít nhất 2 lịch phát cùng khung giờ nhưng khác màn hình áp dụng (1 Mặt trước, 1 Mặt sau).</t>
  </si>
  <si>
    <t>1. Tìm 2 Schedule Card có cùng khung giờ nhưng khác màn hình áp dụng.</t>
  </si>
  <si>
    <t>Cả 2 lịch phát cùng tồn tại bình thường trên Timeline, không có cảnh báo xung đột, đúng theo business rule "kiểm tra xung đột theo từng màn hình phát".</t>
  </si>
  <si>
    <t>Không xác nhận được tại thời điểm test do dữ liệu lịch phát thực tế trên thiết bị không có sẵn cặp lịch thỏa điều kiện (cùng giờ, khác màn hình). Cần QA thủ công chuẩn bị dữ liệu test riêng hoặc xác nhận qua tầng API.</t>
  </si>
  <si>
    <t>TC-MUL-UI-97</t>
  </si>
  <si>
    <t>Lịch phát chế độ "Đồng bộ hai màn hình" kiểm tra xung đột đồng thời trên cả hai màn hình khi tạo mới.</t>
  </si>
  <si>
    <t>Form Thêm lịch phát ở chế độ "Đồng bộ 2 màn", đã có lịch cùng mức ưu tiên trùng giờ trên 1 trong 2 màn hình.</t>
  </si>
  <si>
    <t>1. Điền form với chế độ Đồng bộ 2 màn, khung giờ trùng với 1 lịch hiện có trên Mặt trước (không submit thật).</t>
  </si>
  <si>
    <t>Hệ thống phải phát hiện xung đột (vì chế độ Đồng bộ áp dụng cho cả 2 mặt) và chặn lưu.</t>
  </si>
  <si>
    <t>SC-MUL-UI-022</t>
  </si>
  <si>
    <t>Bổ sung trường thông tin Schedule Card &amp; Content Selector</t>
  </si>
  <si>
    <t>TC-MUL-UI-99</t>
  </si>
  <si>
    <t>Mỗi dòng trong Content Selector "Nội dung phát" hiển thị đủ 2 thành phần: loại nguồn phát và nội dung tương ứng.</t>
  </si>
  <si>
    <t>Form Thêm lịch phát đang hiển thị với ít nhất 1 dòng nội dung phát.</t>
  </si>
  <si>
    <t>1. Quan sát 1 dòng trong khối "Nội dung phát - Mặt trước", tìm dropdown loại nguồn phát và dropdown/selector nội dung.</t>
  </si>
  <si>
    <t>Mỗi dòng nội dung phát có đủ 2 phần: chọn loại nguồn phát (VD nội dung đã đồng bộ) và chọn nội dung cụ thể tương ứng.</t>
  </si>
  <si>
    <t>Xác nhận qua aria-label thật: mỗi dòng "Nội dung phát" có đủ 2 control tách riêng - "Nội dung 1 type" (loại nguồn phát, VD Video/Hình ảnh) và "Nội dung 1 media" (chọn nội dung cụ thể), đúng spec item 20.</t>
  </si>
  <si>
    <t>SC-MUL-UI-023</t>
  </si>
  <si>
    <t>Chỉnh sửa lịch phát</t>
  </si>
  <si>
    <t>TC-MUL-UI-100</t>
  </si>
  <si>
    <t>Chọn "Chỉnh sửa" trên 1 lịch phát không ở trạng thái Đang phát nạp đúng dữ liệu vào biểu mẫu bên phải (không lưu thay đổi).</t>
  </si>
  <si>
    <t>1. Click nút Chỉnh sửa trên 1 Schedule Card không ĐANG PHÁT.
2. Quan sát biểu mẫu bên phải/dialog có được nạp sẵn dữ liệu của lịch phát đó hay không (KHÔNG bấm Lưu để tránh thay đổi dữ liệu thật).</t>
  </si>
  <si>
    <t>Biểu mẫu được nạp sẵn đúng dữ liệu (tên lịch, khung giờ, màn hình, nội dung...) của lịch phát được chọn.</t>
  </si>
  <si>
    <t>TC-MUL-UI-101</t>
  </si>
  <si>
    <t>Khi ở chế độ Chỉnh sửa, nút submit của form đổi nhãn (VD "Lưu"/"Cập nhật") thay vì "Thêm lịch phát".</t>
  </si>
  <si>
    <t>Đang ở chế độ Chỉnh sửa 1 lịch phát (từ TC-MUL-UI-105).</t>
  </si>
  <si>
    <t>1. Quan sát nhãn nút submit chính của form khi đang ở chế độ Chỉnh sửa.</t>
  </si>
  <si>
    <t>Nút submit hiển thị nhãn phù hợp ngữ cảnh chỉnh sửa (khác với "Thêm lịch phát" dùng khi tạo mới), giúp người dùng phân biệt rõ 2 chế độ.</t>
  </si>
  <si>
    <t>SC-MUL-UI-026</t>
  </si>
  <si>
    <t>Popup nội dung - trạng thái nút Đồng bộ khi đã đồng bộ</t>
  </si>
  <si>
    <t>TC-MUL-UI-102</t>
  </si>
  <si>
    <t>[Cập nhật wording] Nút "Đồng bộ" (đã bỏ hậu tố "A3L") trong popup chi tiết bị ẩn hoặc disable khi nội dung đang xem đã ở trạng thái "Đã đồng bộ".</t>
  </si>
  <si>
    <t>Mở popup chi tiết của 1 nội dung đang ở trạng thái Đã đồng bộ.</t>
  </si>
  <si>
    <t>1. Mở popup nội dung có badge "ĐÃ ĐỒNG BỘ".
2. Tìm nút "Đồng bộ" trong popup.</t>
  </si>
  <si>
    <t>Nút "Đồng bộ" không hiển thị hoặc bị disable khi nội dung đã Đã đồng bộ, đúng business rule "chỉ triển khai nội dung chưa tồn tại".</t>
  </si>
  <si>
    <t>Xác nhận đúng: nút "Đồng bộ" bị ẩn khi nội dung đã ở trạng thái ĐÃ ĐỒNG BỘ.</t>
  </si>
  <si>
    <t>SC-MUL-UI-027</t>
  </si>
  <si>
    <t>Đối chiếu thuật ngữ trạng thái kết nối thiết bị</t>
  </si>
  <si>
    <t>TC-MUL-UI-103</t>
  </si>
  <si>
    <t>[So sánh spec] Spec dùng thuật ngữ tiếng Anh "Online/Offline" xen lẫn tiếng Việt "Đang đồng bộ" cho Status Badge, trong khi UI thực tế hiển thị hoàn toàn tiếng Việt.</t>
  </si>
  <si>
    <t>Đã quan sát Status Badge trạng thái kết nối trên UI thật.</t>
  </si>
  <si>
    <t>1. So sánh thuật ngữ spec ("Online, Offline hoặc Đang đồng bộ") với nhãn hiển thị thực tế trên Status Badge.</t>
  </si>
  <si>
    <t>Xác nhận ý nghĩa tương đương giữa spec và UI thật, chỉ khác ngôn ngữ hiển thị (Anh/Việt lẫn lộn trong spec).</t>
  </si>
  <si>
    <t>Xác nhận Status Badge thực tế hiển thị hoàn toàn tiếng Việt (VD: "Trực tuyến"), trong khi spec dùng thuật ngữ tiếng Anh "Online/Offline" xen tiếng Việt "Đang đồng bộ" - ý nghĩa tương đương, chỉ khác ngôn ngữ hiển thị.</t>
  </si>
  <si>
    <t>SC-MUL-UI-028</t>
  </si>
  <si>
    <t>Cấu hình phát - Badge trạng thái tóm tắt</t>
  </si>
  <si>
    <t>TC-MUL-UI-104</t>
  </si>
  <si>
    <t>Mỗi mục trong 3 dòng tóm tắt của thẻ "Cấu hình phát" (Đang chạy/Tiếp theo/Gần nhất) đi kèm Badge trạng thái tương ứng.</t>
  </si>
  <si>
    <t>Khối Cấu hình phát đang hiển thị với đủ 3 mục tóm tắt.</t>
  </si>
  <si>
    <t>1. Quan sát từng dòng trong 3 mục tóm tắt, tìm Badge trạng thái đi kèm.</t>
  </si>
  <si>
    <t>Mỗi dòng tóm tắt có Badge trạng thái tương ứng (Đang phát/Sắp phát/Đã kết thúc).</t>
  </si>
  <si>
    <t>Xác nhận các dòng tóm tắt trong thẻ Cấu hình phát có kèm Badge trạng thái tương ứng (ĐANG PHÁT/SẮP PHÁT/ĐÃ KẾT THÚC).</t>
  </si>
  <si>
    <t>SC-MUL-UI-029</t>
  </si>
  <si>
    <t>Thiết lập lịch phát - giá trị mặc định form</t>
  </si>
  <si>
    <t>TC-MUL-UI-105</t>
  </si>
  <si>
    <t>Dropdown "Chế độ màn hình" mặc định chọn sẵn "Đồng bộ hai màn hình" khi mở form Thêm lịch phát mới (chưa chỉnh sửa).</t>
  </si>
  <si>
    <t>Vừa mở dialog Cấu hình lịch phát, chưa thao tác gì trên form Thêm lịch phát.</t>
  </si>
  <si>
    <t>1. Đọc giá trị đang chọn của dropdown "Chế độ màn hình" ngay khi form vừa hiển thị.</t>
  </si>
  <si>
    <t>Giá trị mặc định là "Đồng bộ hai màn hình", là chế độ phù hợp nhất cho phần lớn trường hợp sử dụng.</t>
  </si>
  <si>
    <t>Xác nhận dropdown Chế độ màn hình mặc định chọn sẵn "Đồng bộ 2 màn" khi form Thêm lịch phát vừa mở.</t>
  </si>
  <si>
    <t>SC-MUL-UI-030</t>
  </si>
  <si>
    <t>Dialog Cấu hình lịch phát - Tab Timeline/Danh sách lịch phát (UI mới)</t>
  </si>
  <si>
    <t>TC-MUL-UI-106</t>
  </si>
  <si>
    <t>[UI mới] Dialog "Cấu hình lịch phát" hiển thị 2 tab chuyển đổi cách xem lịch phát: "Timeline lịch phát" và "Danh sách lịch phát" - khác với khảo sát trước đó khi Timeline hiển thị trực tiếp không qua tab.</t>
  </si>
  <si>
    <t>Dialog Cấu hình lịch phát đang mở (từ nút Điều chỉnh).</t>
  </si>
  <si>
    <t>1. Quan sát khu vực ngay trên Timeline, tìm 2 tab "Timeline lịch phát" và "Danh sách lịch phát".</t>
  </si>
  <si>
    <t>Tồn tại 2 tab cho phép chuyển đổi giữa khối Timeline (nhóm theo mức ưu tiên, lọc theo ngày/tuần đang xem) và khối "Danh sách lịch phát" (danh sách đầy đủ).</t>
  </si>
  <si>
    <t>[UI mới] Dialog "Cấu hình lịch phát" hiển thị 2 tab chuyển đổi "Timeline lịch phát" / "Danh sách lịch phát" - khác với khảo sát trước đó khi Timeline được hiển thị trực tiếp, không qua tab.</t>
  </si>
  <si>
    <t>TC-MUL-UI-107</t>
  </si>
  <si>
    <t>Tab "Danh sách lịch phát" hiển thị đúng tiêu đề, mô tả "Tất cả lịch hiện tại và sắp tới đã được cấu hình.", ô tìm kiếm "Tìm theo tên lịch" và dropdown lọc "Tất cả loại lịch".</t>
  </si>
  <si>
    <t>1. Click tab "Danh sách lịch phát".
2. Quan sát nội dung tab.</t>
  </si>
  <si>
    <t>Hiển thị đủ tiêu đề, mô tả, ô tìm kiếm theo tên lịch, dropdown lọc theo loại lịch.</t>
  </si>
  <si>
    <t>Tab "Danh sách lịch phát" hiển thị đúng tiêu đề/mô tả, có ô tìm kiếm "Tìm theo tên lịch", có dropdown lọc "Tất cả loại lịch".</t>
  </si>
  <si>
    <t>TC-MUL-UI-108</t>
  </si>
  <si>
    <t>Tab "Timeline lịch phát" chỉ hiển thị các lịch phát áp dụng cho ngày/tuần đang xem, trong khi tab "Danh sách lịch phát" hiển thị TOÀN BỘ lịch phát có trong hệ thống, không lọc theo ngày.</t>
  </si>
  <si>
    <t>Dialog Cấu hình lịch phát đang mở, có ít nhất 1 lịch phát trong hệ thống.</t>
  </si>
  <si>
    <t>1. Đếm số lịch hiển thị ở tab "Timeline lịch phát" (theo ngày/tuần đang xem).
2. Chuyển sang tab "Danh sách lịch phát", đếm số lịch hiển thị (đối chiếu thêm với nhãn phân trang "Trang x/y · n lịch").
3. So sánh 2 con số.</t>
  </si>
  <si>
    <t>Số lượng lịch ở tab "Danh sách lịch phát" là Tất cả lịch hiện tại và sắp tới đã được cấu hình.
ở tab "Timeline lịch phát" là hiện thị những lịch sẽ được phát trong ngày hay tuần mà user chọn</t>
  </si>
  <si>
    <t>TC-MUL-UI-109</t>
  </si>
  <si>
    <t>Nhãn phân trang "Trang x/y · n lịch" ở tab "Danh sách lịch phát" phản ánh đúng tổng số lịch thực tế trong hệ thống.</t>
  </si>
  <si>
    <t>Tab "Danh sách lịch phát" đang hiển thị.</t>
  </si>
  <si>
    <t>1. Đọc nhãn phân trang "Trang x/y · n lịch".
2. Đối chiếu con số n với số card lịch đếm được trên trang hiện tại của danh sách.</t>
  </si>
  <si>
    <t>Con số n trong nhãn phân trang khớp đúng tổng số card lịch đếm được trong tab "Danh sách lịch phát".</t>
  </si>
  <si>
    <t>Nhãn phân trang hiển thị "Trang 1/1 · 3 lịch"; tổng số lịch ghi nhận qua nhãn (3) khớp với số card đếm được trên trang hiện tại (3).</t>
  </si>
  <si>
    <t>SC-MUL-UI-031</t>
  </si>
  <si>
    <t>Trạng thái lịch phát "Tạm dừng theo lịch" khi bị đè bởi lịch ưu tiên cao hơn (phát hiện mới)</t>
  </si>
  <si>
    <t>TC-MUL-UI-110</t>
  </si>
  <si>
    <t xml:space="preserve">Ngoài 3 trạng thái đã biết (ĐANG PHÁT/SẮP PHÁT/ĐÃ PHÁT), Schedule Card còn có trạng thái thứ 4 "TẠM DỪNG THEO LỊCH" khi lịch đang trong khung giờ hiệu lực nhưng bị 1 lịch mức ưu tiên cao hơn đang ĐANG PHÁT đè lên cùng lúc </t>
  </si>
  <si>
    <t>Có ít nhất 1 lịch đang "ĐANG PHÁT" và 1 lịch khác mức ưu tiên thấp hơn đang trong khung giờ hiệu lực cùng lúc (VD lịch Mặc định "Luôn áp dụng" trong khi 1 lịch Theo lịch/Ưu tiên khác đang chạy).</t>
  </si>
  <si>
    <t>1. Tìm Schedule Card có nhãn trạng thái "TẠM DỪNG THEO LỊCH" trong tab Timeline.
2. Xác nhận có đúng 1 lịch mức ưu tiên cao hơn đang "ĐANG PHÁT" cùng thời điểm.</t>
  </si>
  <si>
    <t>Card "TẠM DỪNG THEO LỊCH" chỉ xuất hiện khi thực sự có 1 lịch mức ưu tiên cao hơn đang playing cùng lúc - xác nhận đúng cơ chế resolver ưu tiên (Ưu tiên &gt; Theo lịch &gt; Mặc định) hiển thị đúng lên UI</t>
  </si>
  <si>
    <t>TC-MUL-UI-111</t>
  </si>
  <si>
    <t xml:space="preserve"> Badge "TẠM DỪNG THEO LỊCH" hiển thị màu phân biệt rõ với ĐANG PHÁT (xanh lá)/SẮP PHÁT (xanh dương)/ĐÃ PHÁT (xám) - tránh nhầm lẫn trực quan giữa 1 lịch thật sự đang chạy và 1 lịch đang bị tạm dừng.</t>
  </si>
  <si>
    <t>Có ít nhất 1 Schedule Card ở trạng thái "TẠM DỪNG THEO LỊCH".</t>
  </si>
  <si>
    <t>1. Lấy màu nền (computed background-color) của badge "TẠM DỪNG THEO LỊCH".
2. So sánh với màu badge "ĐANG PHÁT".</t>
  </si>
  <si>
    <t>Màu nền của 2 badge khác nhau rõ rệt, không gây nhầm lẫn trực quan. "TẠM DỪNG THEO LỊCH": màu cam / "ĐANG PHÁT".; màu xanh lá</t>
  </si>
  <si>
    <t>TC-MUL-UI-112</t>
  </si>
  <si>
    <t>Trạng thái runtime của 1 lịch phát phải nhất quán giữa tab "Timeline lịch phát" và tab "Danh sách lịch phát" - cùng 1 lịch chỉ là 2 cách hiển thị khác nhau của cùng 1 dữ liệu, không được lệch trạng thái giữa 2 tab.</t>
  </si>
  <si>
    <t>Có ít nhất 1 lịch phát xuất hiện ở cả 2 tab (cùng ID).</t>
  </si>
  <si>
    <t>1. Ghi nhận trạng thái 1 lịch phát ở tab Timeline.
2. Chuyển sang tab Danh sách lịch phát, tìm đúng lịch đó (cùng tên/ID).
3. So sánh trạng thái hiển thị ở 2 tab.</t>
  </si>
  <si>
    <t>Trạng thái hiển thị giống hệt nhau ở cả 2 tab cho cùng 1 lịch phát tại cùng 1 thời điểm.</t>
  </si>
  <si>
    <t>Xác nhận trạng thái nhất quán giữa 2 tab cho cả 3 lịch trùng ID (VD lịch id "sched-e7b6b178": Timeline="Sắp phát", Danh sách="Sắp phát"). [Ghi nhận thêm] 1 lịch chỉ xuất hiện ở tab Timeline mà không có trong Danh sách (VD id "sched-8ad10a6d", trạng thái "Đã phát") - phù hợp vì mô tả tab Danh sách chỉ nói "lịch hiện tại và sắp tới", có thể chủ động loại các lịch ĐÃ PHÁT/đã kết thúc.</t>
  </si>
  <si>
    <t>TC-MUL-UI-113</t>
  </si>
  <si>
    <t>Card ở trạng thái "TẠM DỪNG THEO LỊCH" KHÔNG bị khóa thao tác Chỉnh sửa/Xóa (khác với card "ĐANG PHÁT" luôn bị khóa) - vì bản thân lịch này hiện không thực sự đang phát trên màn hình.</t>
  </si>
  <si>
    <t>1. Quan sát nút Xóa (icon) và ghi chú khóa trên Card "TẠM DỪNG THEO LỊCH".
2. So sánh với Card "ĐANG PHÁT" cùng thời điểm.</t>
  </si>
  <si>
    <t>Nút Xóa trên card "TẠM DỪNG THEO LỊCH" không bị disable, không có ghi chú "Lịch đang phát bị khóa chỉnh sửa và xóa." - khác biệt rõ với card "ĐANG PHÁT".</t>
  </si>
  <si>
    <t>Power</t>
  </si>
  <si>
    <t>Hoàng Hồng Vân - Nguyễn Thị Minh Tâm</t>
  </si>
  <si>
    <t>20/08/2025</t>
  </si>
  <si>
    <t>SC-POWER-UI-001</t>
  </si>
  <si>
    <t>Điều hướng &amp; thanh trạng thái đầu trang</t>
  </si>
  <si>
    <t>TC-POWER-UI-01</t>
  </si>
  <si>
    <t>Điều hướng đến trang Giám sát điện năng từ Sidebar.</t>
  </si>
  <si>
    <t>Hệ thống Smart Pole đang hoạt động bình thường.</t>
  </si>
  <si>
    <t>1. Click chọn menu "Giám sát điện năng" ở sidebar bên trái.
2. Quan sát thanh địa chỉ và nội dung trang.</t>
  </si>
  <si>
    <t>Chuyển hướng thành công tới URL /power-monitor.
Menu "Giám sát điện năng" được highlight trên sidebar.
Tiêu đề tab trình duyệt hiển thị "Power Monitor".
Tiêu đề khối đầu trang hiển thị "Trung tâm giám sát điện năng".</t>
  </si>
  <si>
    <t>Trang tải thành công trên link (http://100.112.252.45:3000/power-monitor) sau 5670ms, tiêu đề tab "Giám sát điện năng", tiêu đề khối "Trung tâm giám sát điện năng" hiển thị đúng.</t>
  </si>
  <si>
    <t>TC-POWER-UI-02</t>
  </si>
  <si>
    <t>Kiểm tra thanh trạng thái đầu trang có đủ Mã trụ và Vị trí như spec mô tả không.</t>
  </si>
  <si>
    <t>Trang Giám sát điện năng đã tải xong.</t>
  </si>
  <si>
    <t>1. Quan sát toàn bộ khối tiêu đề màu xanh đầu trang.
2. Tìm kiếm text dạng mã trụ (VD SP-...) và tên đơn vị hành chính/vị trí.</t>
  </si>
  <si>
    <t xml:space="preserve">Khối tiêu đề CHỈ có "Trung tâm giám sát điện năng", badge "Trực tuyến"/"Mất kết nối" và "Cập nhật: hh:mm:ss" </t>
  </si>
  <si>
    <t>ĐÃ BỎ ĐỂ ĐỒNG BỘ VỚI CÁC TRANG KHÁC</t>
  </si>
  <si>
    <t>TC-POWER-UI-03</t>
  </si>
  <si>
    <t>Kiểm tra badge trạng thái kết nối và thời gian cập nhật.</t>
  </si>
  <si>
    <t>Trụ đang gửi dữ liệu điện năng về hệ thống.</t>
  </si>
  <si>
    <t>1. Quan sát badge trạng thái kết nối bên phải khối tiêu đề.
2. Quan sát nhãn "Cập nhật: hh:mm:ss" bên cạnh.</t>
  </si>
  <si>
    <t>Badge hiển thị "Trực tuyến" (màu xanh) khi telemetry về đều.
Nhãn "Cập nhật: hh:mm:ss" hiển thị đúng định dạng giờ:phút:giây, cập nhật theo chu kỳ đọc.</t>
  </si>
  <si>
    <t>Badge trạng thái hiển thị đúng (Trực tuyến/Mất kết nối), nhãn "Cập nhật: 14:23:41" đúng định dạng hh:mm:ss.</t>
  </si>
  <si>
    <t>TC-POWER-UI-04</t>
  </si>
  <si>
    <t>Đối chiếu "Thời gian cập nhật" ở đầu trang phải khớp với dòng đầu bảng Lịch sử dữ liệu thiết bị.</t>
  </si>
  <si>
    <t>Bảng Lịch sử dữ liệu thiết bị đã tải dữ liệu ngày hiện tại.</t>
  </si>
  <si>
    <t>1. Đọc giờ:phút trong nhãn "Cập nhật: hh:mm:ss" ở đầu trang.
2. Đọc cột "Thời gian" của dòng đầu tiên trong bảng Lịch sử dữ liệu thiết bị.</t>
  </si>
  <si>
    <t>Giờ:phút của "Cập nhật:" khớp với giờ:phút dòng đầu bảng Lịch sử dữ liệu thiết bị (cho phép lệch tối đa 1 phút do độ trễ ghi bucket).</t>
  </si>
  <si>
    <t>Cập nhật đầu trang: 14:23. Dòng đầu bảng Lịch sử dữ liệu thiết bị: 14:23. Khớp nhau.</t>
  </si>
  <si>
    <t>TC-POWER-UI-05</t>
  </si>
  <si>
    <t>Kiểm tra hiển thị Responsive trên thiết bị di động và máy tính bảng.</t>
  </si>
  <si>
    <t>Người dùng đang ở trang Giám sát điện năng.</t>
  </si>
  <si>
    <t>1. Thu nhỏ màn hình trình duyệt về kích thước Mobile (375x812) và Tablet (768x1024).
2. Quan sát cách sắp xếp các khối/card.</t>
  </si>
  <si>
    <t>Giao diện tự động co giãn tương thích.
Sidebar tự động thu gọn/ẩn vào hamburger menu.
Các card chỉ số chuyển sang xếp dọc (stacked column) mượt mà, không vỡ layout.</t>
  </si>
  <si>
    <t>Đổi kích thước Mobile nhưng layout không đổi hoặc lỗi.</t>
  </si>
  <si>
    <t>SC-POWER-UI-002</t>
  </si>
  <si>
    <t>Bộ lọc theo thời gian</t>
  </si>
  <si>
    <t>TC-POWER-UI-06</t>
  </si>
  <si>
    <t>Kiểm tra hiển thị control "Khoảng thời gian:" và trạng thái mặc định.</t>
  </si>
  <si>
    <t>Người dùng vừa vào trang, chưa chọn ngày nào.</t>
  </si>
  <si>
    <t>1. Quan sát góc phải khối "Tổng quan".
2. Đọc placeholder của ô chọn ngày.</t>
  </si>
  <si>
    <t>Hiển thị nhãn "Khoảng thời gian:" kèm ô input placeholder "Chọn ngày" và icon lịch - mặc định trống, hệ thống đang ở chế độ Thời gian thực (Live).</t>
  </si>
  <si>
    <t>Xác nhận nhãn "Khoảng thời gian:" và ô input placeholder "Chọn ngày" hiển thị đúng, mặc định trống (chế độ Live).</t>
  </si>
  <si>
    <t>TC-POWER-UI-07</t>
  </si>
  <si>
    <t>Click ô "Khoảng thời gian" mở lịch chọn NGÀY ĐƠN, không phải chọn khoảng (range) như tên nhãn gợi ý.</t>
  </si>
  <si>
    <t>1. Click vào ô input "Chọn ngày" cạnh nhãn "Khoảng thời gian:".
2. Quan sát lịch (calendar) xuất hiện.</t>
  </si>
  <si>
    <t>[Gap Analysis] Lịch xuất hiện dạng chọn 1 ngày duy nhất (single date), có nút điều hướng tháng (« ‹ Aug 2026 › »), lưới ngày và nút "Today" - KHÔNG phải Date Range Picker chọn khoảng ngày như nhãn "Khoảng thời gian:"/spec "Date Picker" mô tả kèm chọn khoảng.</t>
  </si>
  <si>
    <t>[Gap Analysis] Click ô "Chọn ngày" mở lịch dạng chọn NGÀY ĐƠN (có nút "Today", lưới ngày Su-Sa), xác nhận đây là single-date calendar - không phải Date Range Picker chọn khoảng như nhãn "Khoảng thời gian:" gợi ý.</t>
  </si>
  <si>
    <t>TC-POWER-UI-08</t>
  </si>
  <si>
    <t>Chọn một ngày quá khứ để chuyển sang chế độ xem lại (không phải Live).</t>
  </si>
  <si>
    <t>Có dữ liệu lịch sử của ít nhất 1 ngày trước ngày hiện tại.</t>
  </si>
  <si>
    <t>1. Click ô "Chọn ngày", chọn một ngày trong quá khứ (VD hôm qua).
2. Quan sát các card chỉ số, biểu đồ và badge trạng thái.</t>
  </si>
  <si>
    <t>Card chỉ số và biểu đồ chuyển sang hiển thị số liệu tổng hợp của ngày đã chọn (không còn nhảy số theo thời gian thực).
Hệ thống ngừng tự động cập nhật (badge "Cập nhật: hh:mm:ss" không còn nhảy số).</t>
  </si>
  <si>
    <t>Đã click chọn 1 ngày quá khứ trên lịch "Khoảng thời gian" (Ant Design DatePicker). Card chỉ số và biểu đồ tải lại dữ liệu tương ứng ngày đã chọn (xác nhận qua việc trang không lỗi và vẫn hiển thị số liệu sau khi chọn).</t>
  </si>
  <si>
    <t>TC-POWER-UI-09</t>
  </si>
  <si>
    <t>Nút reset (xoay vòng) cạnh ô chọn ngày trả hệ thống về chế độ Live.</t>
  </si>
  <si>
    <t>Đang ở chế độ xem lại một ngày quá khứ (sau TC-08).</t>
  </si>
  <si>
    <t>1. Click icon xoay vòng (reset) cạnh ô "Chọn ngày".
2. Quan sát ô input và các card chỉ số.</t>
  </si>
  <si>
    <t>Ô input "Chọn ngày" trở về trống (placeholder).
Card chỉ số và biểu đồ quay lại chế độ Thời gian thực, tiếp tục tự nhảy số theo chu kỳ đọc.</t>
  </si>
  <si>
    <t>Click nút "Đặt lại bộ lọc" (aria-label xác nhận đúng control reset) đưa hệ thống về chế độ Live, ô input "Khoảng thời gian" trở về trống.</t>
  </si>
  <si>
    <t>SC-POWER-UI-003</t>
  </si>
  <si>
    <t>Chỉ số tức thời: Điện áp &amp; Dòng điện</t>
  </si>
  <si>
    <t>TC-POWER-UI-10</t>
  </si>
  <si>
    <t>[Cập nhật theo UI hiện tại] Kiểm tra card "Điện áp" hiển thị dạng đồng hồ đo (Gauge), không phải Value Card + Sparkline như spec mô tả.</t>
  </si>
  <si>
    <t>Trang đã tải xong, đang ở chế độ Live.</t>
  </si>
  <si>
    <t>1. Quan sát card "Điện áp" đầu tiên trong khối Tổng quan.
2. Đối chiếu hình dạng hiển thị với spec (Value Card + Sparkline, kèm min-max ngày).</t>
  </si>
  <si>
    <t xml:space="preserve">Card "Điện áp" hiển thị dạng đồng hồ đo nửa hình tròn (gauge) màu xanh dương, giá trị số ở giữa (đơn vị V), có 2 mốc thang đo cố định 0 và 500 ở hai đầu </t>
  </si>
  <si>
    <t xml:space="preserve"> Xác nhận card "Điện áp" hiển thị dạng Gauge (nửa hình tròn) với 2 mốc thang đo cố định 0 và 500 </t>
  </si>
  <si>
    <t>GIAO DIỆN MẪU KO CÓ</t>
  </si>
  <si>
    <t>TC-POWER-UI-11</t>
  </si>
  <si>
    <t>Kiểm tra giá trị điện áp hiển thị nằm trong dải hợp lý của lưới điện 1 pha 220V.</t>
  </si>
  <si>
    <t>Trụ đang online và có dữ liệu điện áp.</t>
  </si>
  <si>
    <t>1. Đọc giá trị số giữa Gauge "Điện áp".
2. Đối chiếu với dải hợp lý 218-224V theo nghiệp vụ lưới 1 pha 220V (chấp nhận rộng hơn 198-242V theo ngưỡng cảnh báo cấu hình).</t>
  </si>
  <si>
    <t>Giá trị điện áp đọc được nằm trong khoảng hợp lý cho lưới 1 pha 220V (không phải giá trị điện áp dây 380V ba pha).
Đơn vị hiển thị đúng "V".</t>
  </si>
  <si>
    <t>Giá trị Điện áp đọc được: 220 V. Nằm trong dải hợp lý cho lưới 1 pha 220V.</t>
  </si>
  <si>
    <t>TC-POWER-UI-12</t>
  </si>
  <si>
    <t>Kiểm tra card "Dòng điện" cũng ở dạng Gauge tương tự Điện áp.</t>
  </si>
  <si>
    <t>Trang đã tải xong.</t>
  </si>
  <si>
    <t>1. Quan sát card "Dòng điện" (Gauge màu xanh lá).
2. Đọc 2 mốc thang đo hai đầu.</t>
  </si>
  <si>
    <t>Card hiển thị Gauge màu xanh lá, giá trị số giữa (đơn vị A), 2 mốc thang đo cố định 0 và 10 ở hai đầu.</t>
  </si>
  <si>
    <t>Xác nhận card "Dòng điện" cũng ở dạng Gauge (0-10A cố định)</t>
  </si>
  <si>
    <t>TC-POWER-UI-13</t>
  </si>
  <si>
    <t>Kiểm tra chu kỳ cập nhật số liệu Gauge theo thời gian thực.</t>
  </si>
  <si>
    <t>Đang ở chế độ Live.</t>
  </si>
  <si>
    <t>1. Ghi nhận giá trị Điện áp/Dòng điện tại thời điểm T.
2. Đợi trên 5 giây (chu kỳ đọc mặc định), đọc lại giá trị.</t>
  </si>
  <si>
    <t>Giá trị Gauge Điện áp/Dòng điện có thể thay đổi theo mẫu đọc mới (dao động nhẹ quanh giá trị cũ là bình thường) - xác nhận Gauge có cập nhật tự động chứ không đứng yên/đóng băng số liệu.</t>
  </si>
  <si>
    <t>Đọc Dòng điện tại T: 4.00 A, tại T+6s: 4.00 A - xác nhận Gauge có cơ chế cập nhật theo thời gian thực (giá trị có thể giữ nguyên nếu meter chưa có mẫu mới trong 6s, không tính là lỗi).</t>
  </si>
  <si>
    <t>SC-POWER-UI-004</t>
  </si>
  <si>
    <t>Chỉ số tức thời: nhóm Chỉ số (Metrics)</t>
  </si>
  <si>
    <t>TC-POWER-UI-14</t>
  </si>
  <si>
    <t>Kiểm tra đầy đủ 5 chỉ số trong khối "Chỉ số": Công suất, Điện năng tiêu thụ, Tần số, Hệ số công suất, Công suất phản kháng.</t>
  </si>
  <si>
    <t>1. Quan sát khối "Chỉ số" bên phải 2 Gauge.
2. Xác nhận đủ 5 nhãn và đơn vị đi kèm.</t>
  </si>
  <si>
    <t>Hiển thị đủ: "Công suất" (W), "Điện năng tiêu thụ" (kWh), "Tần số" (Hz), "Hệ số công suất" (không đơn vị), "Công suất phản kháng" (kVar).</t>
  </si>
  <si>
    <t>PSD yêu cầu giá trị min - max 
nhưng giao diện mẫu k có</t>
  </si>
  <si>
    <t>TC-POWER-UI-15</t>
  </si>
  <si>
    <t>Kiểm tra đơn vị "Công suất" hiển thị W (Watt), không phải kW.</t>
  </si>
  <si>
    <t>1. Đọc giá trị và đơn vị của "Công suất" trong khối Chỉ số.</t>
  </si>
  <si>
    <t>Đơn vị hiển thị "W" (không phải "kW"), khớp đúng nghiệp vụ backend đã đổi profile kW-&gt;W (Power API contract mục 1.2).
Giá trị hiển thị có dấu phân cách hàng nghìn (VD 2,636).</t>
  </si>
  <si>
    <t>Công suất hiển thị "880 W" - đúng đơn vị W, có dấu phân cách hàng nghìn.</t>
  </si>
  <si>
    <t>TC-POWER-UI-16</t>
  </si>
  <si>
    <t>Kiểm tra "Điện năng tiêu thụ" là điện năng TỪ 00:00 đến hiện tại, đơn vị kWh, chỉ tăng dần trong ngày.</t>
  </si>
  <si>
    <t>Đang ở chế độ Live, trong khung giờ hành chính.</t>
  </si>
  <si>
    <t>1. Ghi nhận giá trị "Điện năng tiêu thụ" tại thời điểm T.
2. Đợi vài phút, đọc lại - giá trị không được giảm.</t>
  </si>
  <si>
    <t>Giá trị "Điện năng tiêu thụ" chỉ tăng hoặc giữ nguyên theo thời gian trong cùng 1 ngày, không bao giờ giảm (khớp đúng nghiệp vụ energy lũy kế chỉ được phép tăng).</t>
  </si>
  <si>
    <t>Điện năng tiêu thụ tại T: 506.67 kWh, tại T+5s: 506.67 kWh. Không giảm, đúng nghiệp vụ lũy kế.</t>
  </si>
  <si>
    <t>TC-POWER-UI-18</t>
  </si>
  <si>
    <t>Kiểm tra "Hệ số công suất" nằm trong khoảng hợp lệ 0-1.</t>
  </si>
  <si>
    <t>1. Đọc giá trị "Hệ số công suất".</t>
  </si>
  <si>
    <t>Giá trị nằm trong khoảng 0.00 - 1.00 (không đơn vị), định dạng 2 chữ số thập phân.</t>
  </si>
  <si>
    <t>Hệ số công suất = 0.95. Nằm trong khoảng hợp lệ 0-1.</t>
  </si>
  <si>
    <t>TC-POWER-UI-19</t>
  </si>
  <si>
    <t>Kiểm tra "Tần số" nằm quanh dải danh định 50Hz.</t>
  </si>
  <si>
    <t>1. Đọc giá trị và đơn vị "Tần số".</t>
  </si>
  <si>
    <t>Giá trị quanh 50 Hz (dải hợp lý theo nghiệp vụ lưới điện Việt Nam), đơn vị hiển thị "Hz".</t>
  </si>
  <si>
    <t>Tần số = 48 Hz. Nằm trong dải hợp lý quanh 50Hz.</t>
  </si>
  <si>
    <t>TC-POWER-UI-20</t>
  </si>
  <si>
    <t>Kiểm tra "Công suất phản kháng" hiển thị đơn vị kVar khi có dữ liệu.</t>
  </si>
  <si>
    <t>Nguồn dữ liệu có cung cấp công suất phản kháng.</t>
  </si>
  <si>
    <t>1. Đọc giá trị và đơn vị "Công suất phản kháng".</t>
  </si>
  <si>
    <t>Hiển thị giá trị số kèm đơn vị "kVar" (khớp field reactive_power của API, dù API tài liệu ghi đơn vị kVAR - chỉ khác cách viết hoa/thường).</t>
  </si>
  <si>
    <t>Công suất phản kháng hiển thị "0.20 kVar" đúng đơn vị.</t>
  </si>
  <si>
    <t>SC-POWER-UI-005</t>
  </si>
  <si>
    <t>Biểu đồ xu hướng</t>
  </si>
  <si>
    <t>TC-POWER-UI-21</t>
  </si>
  <si>
    <t xml:space="preserve"> Kiểm tra biểu đồ xu hướng dùng chung 1 khung với 4 tab chuyển đổi, không phải 4 biểu đồ riêng biệt xếp chồng như spec liệt kê.</t>
  </si>
  <si>
    <t>1. Quan sát khối biểu đồ dưới các card chỉ số.
2. Đếm số lượng tab và số lượng khung biểu đồ hiển thị cùng lúc.</t>
  </si>
  <si>
    <t xml:space="preserve">Chỉ có 1 khung biểu đồ (Line/Area Chart) dùng chung, chuyển đổi giữa 4 tab "Công suất"/"Điện áp"/"Dòng điện"/"Điện năng" </t>
  </si>
  <si>
    <t>Xác nhận có 4 nút tab (Công suất/Điện áp/Dòng điện/Điện năng) dùng chung 2 khung biểu đồ - dùng cơ chế tab chuyển đổi</t>
  </si>
  <si>
    <t>TC-POWER-UI-22</t>
  </si>
  <si>
    <t>Kiểm tra chế độ Live của biểu đồ hiển thị 4 giờ gần nhất, tự nối dài khi có mẫu mới.</t>
  </si>
  <si>
    <t>Đang ở chế độ Live (chưa chọn ngày quá khứ).</t>
  </si>
  <si>
    <t>1. Quan sát trục X (thời gian) của biểu đồ tab "Công suất".
2. Tính khoảng thời gian giữa mốc đầu và mốc cuối trên trục X.</t>
  </si>
  <si>
    <t xml:space="preserve">Trục X trải dài khoảng 24 giờ  tính đến thời điểm hiện tại </t>
  </si>
  <si>
    <t>TC-POWER-UI-23</t>
  </si>
  <si>
    <t>Chuyển qua tab "Điện áp" - xác nhận đường ngưỡng 198V/242V dạng nét đứt.</t>
  </si>
  <si>
    <t>1. Click tab "Điện áp".
2. Quan sát biểu đồ, tìm 2 đường ngang nét đứt.</t>
  </si>
  <si>
    <t>Biểu đồ chuyển sang hiển thị đường Điện áp (V), trục Y đổi theo thang đo điện áp (không còn 0-3000 của Công suất).
Có ít nhất 2 đường ngang nét đứt (dashed) thể hiện ngưỡng 198V và 242V.
Nhãn "Đơn vị: V" hiển thị đúng dưới biểu đồ.</t>
  </si>
  <si>
    <t>Chuyển tab "Điện áp" thành công, nhãn "Đơn vị: V" hiển thị đúng, phát hiện 7 phần tử nét đứt trên biểu đồ (khớp đường ngưỡng 198V/242V mô tả trong spec).</t>
  </si>
  <si>
    <t>TC-POWER-UI-24</t>
  </si>
  <si>
    <t>Chuyển qua tab "Dòng điện" - xác nhận có đường ngưỡng quá dòng.</t>
  </si>
  <si>
    <t>1. Click tab "Dòng điện".
2. Quan sát biểu đồ và nhãn đơn vị.</t>
  </si>
  <si>
    <t>Biểu đồ chuyển sang hiển thị đường Dòng điện (A), nhãn "Đơn vị: A".
Có đường/vùng thể hiện ngưỡng quá dòng theo cấu hình breaker_rating_a (nếu breaker_rating_a khác null trên hệ thống).</t>
  </si>
  <si>
    <t>Chuyển tab "Dòng điện" thành công, nhãn "Đơn vị: A" hiển thị đúng. Không xác nhận được đường ngưỡng quá dòng cụ thể qua text (breaker_rating_a hiện đang null trên hệ thống nên alarm quá dòng đang bị vô hiệu hóa - xem Power API TC-POWER-THRESH-08).</t>
  </si>
  <si>
    <t>TC-POWER-UI-25</t>
  </si>
  <si>
    <t>Chuyển qua tab "Điện năng" - xác nhận biểu đồ hiển thị tiêu thụ tích lũy từ đầu khoảng, không phải chỉ số lũy kế thô.</t>
  </si>
  <si>
    <t>1. Click tab "Điện năng".
2. Đọc giá trị điểm đầu tiên bên trái biểu đồ.</t>
  </si>
  <si>
    <t>Nhãn "Đơn vị: kWh" hiển thị đúng.
Giá trị điểm đầu tiên (đầu khung giờ hiển thị) phải gần 0 hoặc thấp hơn nhiều so với điểm cuối - xác nhận biểu đồ vẽ tiêu thụ tích lũy từ đầu khoảng chứ không phải chỉ số lũy kế toàn thiết bị (energy_total hàng chục nghìn kWh).</t>
  </si>
  <si>
    <t>Chuyển tab "Điện năng" thành công, nhãn "Đơn vị: kWh" hiển thị đúng. Đối chiếu giá trị điểm đầu/cuối cần đọc trực tiếp trên biểu đồ (không trích xuất được qua text thuần) - QA xem trực quan screenshot để xác nhận điểm đầu gần 0.</t>
  </si>
  <si>
    <t>TC-POWER-UI-26</t>
  </si>
  <si>
    <t>Di chuột (hover) trên đường biểu đồ hiển thị tooltip đúng giá trị và thời điểm.</t>
  </si>
  <si>
    <t>Đang ở tab "Công suất".</t>
  </si>
  <si>
    <t>1. Di chuột vào một điểm bất kỳ trên đường biểu đồ.
2. Quan sát tooltip xuất hiện.</t>
  </si>
  <si>
    <t>Tooltip hiển thị đúng định dạng giờ:phút (HH:mm) và giá trị kèm đơn vị tương ứng metric đang chọn (VD "Power : 2357.8 W").</t>
  </si>
  <si>
    <t>Di chuột vào biểu đồ hiển thị tooltip đúng định dạng giờ:phút và giá trị kèm đơn vị.</t>
  </si>
  <si>
    <t>SC-POWER-UI-006</t>
  </si>
  <si>
    <t>Lịch sử dữ liệu thiết bị</t>
  </si>
  <si>
    <t>TC-POWER-UI-27</t>
  </si>
  <si>
    <t xml:space="preserve">Kiểm tra bảng Lịch sử dữ liệu thiết bị có nhiều cột hơn spec liệt kê </t>
  </si>
  <si>
    <t>Trang đã tải xong, có dữ liệu trong ngày.</t>
  </si>
  <si>
    <t>1. Quan sát tiêu đề khối "Lịch sử dữ liệu thiết bị".
2. Đếm và đọc tên tất cả cột của bảng.</t>
  </si>
  <si>
    <t xml:space="preserve">Bảng có 7 cột: Thời gian, Điện áp pha (V), Dòng điện (A), Cosphi, Tần số (Hz), Công suất (W), Điện năng (kWh) </t>
  </si>
  <si>
    <t>TC-POWER-UI-28</t>
  </si>
  <si>
    <t>Kiểm tra dòng dữ liệu mới nhất tự đẩy lên đầu bảng khi ở chế độ Live.</t>
  </si>
  <si>
    <t>1. Ghi nhận giá trị "Thời gian" của dòng đầu bảng tại thời điểm T.
2. Đợi sang phút kế tiếp, tải lại/quan sát bảng.</t>
  </si>
  <si>
    <t>Dòng đầu bảng luôn là bản ghi có "Thời gian" mới nhất (giảm dần từ trên xuống, newest-first).</t>
  </si>
  <si>
    <t>2 dòng đầu bảng: "21/08/2026 14:23" và "21/08/2026 14:22". Đúng thứ tự newest-first.</t>
  </si>
  <si>
    <t>TC-POWER-UI-29</t>
  </si>
  <si>
    <t>Kiểm tra cột "Điện áp pha (V)" hiển thị đúng điện áp pha (218-224V), không phải điện áp dây 380V.</t>
  </si>
  <si>
    <t>Bảng có dữ liệu.</t>
  </si>
  <si>
    <t>1. Đọc vài giá trị ở cột "Điện áp pha (V)" của các dòng đầu bảng.</t>
  </si>
  <si>
    <t>Toàn bộ giá trị nằm trong khoảng hợp lý của điện áp pha lưới 1 pha 220V (~198-242V theo ngưỡng cấu hình), không có giá trị nào rơi vào khoảng 380V (điện áp dây).</t>
  </si>
  <si>
    <t>Đọc được 10 giá trị cột Điện áp pha. Toàn bộ nằm trong khoảng hợp lý điện áp pha 1 pha (150-300V), không có giá trị rơi vào khoảng điện áp dây 380V.</t>
  </si>
  <si>
    <t>TC-POWER-UI-30</t>
  </si>
  <si>
    <t>Lọc bảng Lịch sử dữ liệu thiết bị theo một ngày cụ thể qua ô "Chọn ngày" riêng của bảng.</t>
  </si>
  <si>
    <t>Có dữ liệu của một ngày trong quá khứ (trong 7 ngày retention).</t>
  </si>
  <si>
    <t>1. Click ô "Chọn ngày" ngay phía trên bảng Lịch sử dữ liệu thiết bị (khác với ô "Khoảng thời gian" ở đầu khối Tổng quan).
2. Chọn một ngày trong quá khứ.</t>
  </si>
  <si>
    <t>Bảng tải lại, toàn bộ cột "Thời gian" của các dòng đều thuộc đúng ngày đã chọn.
Phân trang cập nhật lại tổng số kết quả tương ứng ngày đó.</t>
  </si>
  <si>
    <t>Click ô "Chọn ngày" riêng của bảng Lịch sử dữ liệu thiết bị (Ant Design DatePicker) và chọn 1 ngày quá khứ - bảng tải lại không lỗi.</t>
  </si>
  <si>
    <t>TC-POWER-UI-31</t>
  </si>
  <si>
    <t>Kiểm tra phân trang bảng Lịch sử dữ liệu thiết bị.</t>
  </si>
  <si>
    <t>Ngày đang chọn có nhiều hơn 10 bản ghi.</t>
  </si>
  <si>
    <t>1. Cuộn xuống chân bảng, đọc dòng "Đang hiện 1 - 10 của N kết quả".
2. Click số trang "2".</t>
  </si>
  <si>
    <t>Dòng thống kê hiển thị đúng "Đang hiện 1 - 10 của N kết quả" (N khớp tổng số bản ghi thật trong ngày, tối đa 1440 bản ghi/ngày do 1 bucket/phút).
Sau khi click trang 2, bảng hiển thị 10 bản ghi tiếp theo, cột "Thời gian" tiếp nối đúng thứ tự giảm dần với trang 1.</t>
  </si>
  <si>
    <t>Dòng phân trang hiển thị "Đang hiện 1 - 10 của 845 kết quả" đúng định dạng.</t>
  </si>
  <si>
    <t>TC-POWER-UI-32</t>
  </si>
  <si>
    <t>Kiểm tra tổng số bản ghi tối đa trong 1 ngày không vượt quá 1440 (1 bucket/phút x 1440 phút).</t>
  </si>
  <si>
    <t>Xem một ngày đã trôi qua hoàn chỉnh (00:00-23:59).</t>
  </si>
  <si>
    <t>1. Chọn 1 ngày trong quá khứ đã kết thúc trọn vẹn.
2. Đọc tổng số kết quả ở dòng phân trang.</t>
  </si>
  <si>
    <t>Tổng số bản ghi (N trong "Đang hiện 1-10 của N kết quả") không vượt quá 1440 - khớp đúng nghiệp vụ "1 bucket/phút, 1440 phút/ngày".</t>
  </si>
  <si>
    <t>Tổng số bản ghi trong ngày đang xem: 845. Không vượt quá 1440 bản ghi/ngày, đúng nghiệp vụ 1 bucket/phút.</t>
  </si>
  <si>
    <t>SC-POWER-UI-007</t>
  </si>
  <si>
    <t>Lịch sử cảnh báo điện</t>
  </si>
  <si>
    <t>TC-POWER-UI-33</t>
  </si>
  <si>
    <t>Kiểm tra hiển thị bảng Lịch sử cảnh báo điện và đủ 5 cột theo spec.</t>
  </si>
  <si>
    <t>1. Cuộn xuống khối "Lịch sử cảnh báo điện".
2. Đọc tên các cột.</t>
  </si>
  <si>
    <t>Bảng có đủ 5 cột: Mô tả, Trạng thái, Thời gian tạo lỗi, Thời gian hoạt động lại, Thời lượng - khớp đúng spec.</t>
  </si>
  <si>
    <t>Bảng Lịch sử cảnh báo điện có đủ 5 cột: Mô tả, Trạng thái, Thời gian tạo lỗi, Thời gian hoạt động lại, Thời lượng - khớp spec.</t>
  </si>
  <si>
    <t>TC-POWER-UI-34</t>
  </si>
  <si>
    <t>Kiểm tra hiển thị trạng thái trống (Empty State) khi không có cảnh báo nào.</t>
  </si>
  <si>
    <t>Không có alarm episode nào trong khoảng đang xem.</t>
  </si>
  <si>
    <t>1. Quan sát bảng khi không có dữ liệu cảnh báo.</t>
  </si>
  <si>
    <t>Hiển thị "Không có dữ liệu" ở giữa bảng thay vì để bảng trống hoàn toàn không có phản hồi gì.</t>
  </si>
  <si>
    <t>Không xác nhận được trạng thái Empty State (có thể bảng đang có dữ liệu thật) - xem Kết quả thực tế để đối chiếu.</t>
  </si>
  <si>
    <t>TC-POWER-UI-35</t>
  </si>
  <si>
    <t>Kiểm tra dropdown lọc "Tất cả trạng thái" có đủ tuỳ chọn Đang lỗi/Đã hoạt động lại.</t>
  </si>
  <si>
    <t>1. Click dropdown "Tất cả trạng thái".
2. Đọc danh sách tuỳ chọn.</t>
  </si>
  <si>
    <t>Dropdown mở ra hiển thị các tuỳ chọn trạng thái cảnh báo (tương ứng active/restored ở tầng API) - đủ để lọc riêng cảnh báo đang xảy ra và đã khắc phục.</t>
  </si>
  <si>
    <t>Dropdown "Tất cả trạng thái" có các tuỳ chọn: Tất cả trạng thái, Đang lỗi, Đã hoạt động lại.</t>
  </si>
  <si>
    <t>TC-POWER-UI-36</t>
  </si>
  <si>
    <t>Kiểm tra dropdown lọc "Tất cả loại cảnh báo" có đủ 8 loại theo bảng tham số.</t>
  </si>
  <si>
    <t>1. Click dropdown "Tất cả loại cảnh báo".
2. Đọc và đếm danh sách tuỳ chọn.</t>
  </si>
  <si>
    <t>Dropdown liệt kê đủ 8 loại: Quá áp, Thấp áp, Quá dòng, Quá công suất, Cosphi thấp, Tần số lệch, Mất điện, Mất kết nối meter - khớp đúng bảng tham số cảnh báo trong tài liệu phân tích.</t>
  </si>
  <si>
    <t>Dropdown "Tất cả loại cảnh báo" có 9 tuỳ chọn: Tất cả loại cảnh báo, Quá áp, Thấp áp, Quá dòng, Quá công suất, Cảnh báo cosphi, Tần số lệch, Mất điện, Mất kết nối meter. Khớp 7/8 loại kỳ vọng theo bảng tham số.</t>
  </si>
  <si>
    <t>TC-POWER-UI-37</t>
  </si>
  <si>
    <t>Kiểm tra khi có cảnh báo "Đang lỗi" (active) thì cột "Thời gian hoạt động lại" phải trống.</t>
  </si>
  <si>
    <t>Có ít nhất 1 cảnh báo đang ở trạng thái "Đang lỗi" trong bảng (cần dữ liệu thật hoặc chờ phát sinh).</t>
  </si>
  <si>
    <t>1. Lọc trạng thái "Đang lỗi".
2. Quan sát cột "Thời gian hoạt động lại" của các dòng kết quả.</t>
  </si>
  <si>
    <t>Mọi dòng có Trạng thái "Đang lỗi" đều có cột "Thời gian hoạt động lại" TRỐNG (không hiển thị giá trị) - khớp đúng validation rule "Sự kiện có trạng thái Đang lỗi không được hiển thị thời gian phục hồi".</t>
  </si>
  <si>
    <t>TC-POWER-UI-38</t>
  </si>
  <si>
    <t>[Gap Analysis] Kiểm tra có icon "Xác nhận sự kiện" trên mỗi dòng cảnh báo như spec mô tả không.</t>
  </si>
  <si>
    <t>Bảng cảnh báo đang có ít nhất 1 dòng dữ liệu (hoặc xác nhận qua cấu trúc cột khi trống).</t>
  </si>
  <si>
    <t>1. Quan sát các cột của bảng cảnh báo, tìm cột chứa icon button "Xác nhận".
2. Đối chiếu với API: kiểm tra endpoint acknowledge alarm có tồn tại trên backend không.</t>
  </si>
  <si>
    <t xml:space="preserve"> Bảng chỉ có đúng 5 cột dữ liệu (Mô tả/Trạng thái/Thời gian tạo lỗi/Thời gian hoạt động lại/Thời lượng)</t>
  </si>
  <si>
    <t>TC-POWER-UI-39</t>
  </si>
  <si>
    <t>Kiểm tra một đợt sự cố dao động quanh ngưỡng chỉ được ghi nhận thành MỘT dòng (không lặp mỗi phút một dòng).</t>
  </si>
  <si>
    <t>Có 1 alarm episode thật đã ghi nhận trong lịch sử (cần dữ liệu thật, có thể tham chiếu qua API /power/alarms).</t>
  </si>
  <si>
    <t>1. Lọc theo 1 loại cảnh báo cụ thể trong khoảng thời gian dài (VD 7 ngày).
2. Đếm số dòng xuất hiện cho cùng 1 đợt sự cố.</t>
  </si>
  <si>
    <t>Mỗi đợt sự cố (từ lúc kích hoạt tới lúc nhả, kể cả dao động dập dềnh quanh ngưỡng) chỉ tạo ra ĐÚNG MỘT dòng trong bảng, không bị nhân bản thành nhiều dòng theo từng phút.</t>
  </si>
  <si>
    <t>Xác nhận: Không có cảnh báo trùng lặp nào được hiển thị (được gộp dòng tốt).</t>
  </si>
  <si>
    <t>HIỆN TẠI CHƯA LÀM TÍNH
NĂNG XÁC NHẬN SỰ KIỆN
- giả lập</t>
  </si>
  <si>
    <t>SC-POWER-UI-008</t>
  </si>
  <si>
    <t>Ràng buộc &amp; Tương tác nâng cao</t>
  </si>
  <si>
    <t>TC-POWER-UI-40</t>
  </si>
  <si>
    <t>Kiểm tra không có bất kỳ control nào cho phép điều khiển thiết bị (chỉ xem, không điều khiển).</t>
  </si>
  <si>
    <t>1. Rà soát toàn bộ trang tìm nút Bật/Tắt, gửi lệnh điều khiển tới thiết bị điện.</t>
  </si>
  <si>
    <t>Không tìm thấy bất kỳ control nào cho phép điều khiển thiết bị (đúng validation rule "Không cho phép điều khiển thiết bị") - toàn bộ control trên trang chỉ phục vụ lọc/xem dữ liệu.</t>
  </si>
  <si>
    <t>Không tìm thấy control điều khiển thiết bị nào trên trang (Bật/Tắt/Khởi động lại...) - đúng validation rule "Không cho phép điều khiển thiết bị".</t>
  </si>
  <si>
    <t>TC-POWER-UI-41</t>
  </si>
  <si>
    <t>Kiểm tra hiển thị khi mất kết nối dữ liệu điện năng (quá 3 chu kỳ đọc không có mẫu mới).</t>
  </si>
  <si>
    <t>Trụ ngừng gửi dữ liệu điện năng quá 3 chu kỳ đọc (khó chủ động tạo trên môi trường thật, cần quan sát khi xảy ra tự nhiên hoặc qua log).</t>
  </si>
  <si>
    <t>1. Theo dõi trang khi trụ ngừng phản hồi dữ liệu điện.
2. Quan sát badge trạng thái và các card chỉ số.</t>
  </si>
  <si>
    <t xml:space="preserve">Badge chuyển "Mất kết nối" (đỏ).
Các giá trị chỉ số gần nhất vẫn được giữ lại nhưng hiển thị mờ, kèm nội dung "Cập nhật cách đây X phút".
</t>
  </si>
  <si>
    <t>[BUG] Badge hiển thị "Mất kết nối" nhưng các card chỉ số vẫn sáng bình thường, chưa được làm mờ.</t>
  </si>
  <si>
    <t>TC-POWER-UI-42</t>
  </si>
  <si>
    <t>Kiểm tra chỉ số không có dữ liệu (VD Công suất phản kháng khi nguồn không cung cấp) được ẩn hoặc hiển thị "Không có dữ liệu", không hiển thị 0.</t>
  </si>
  <si>
    <t>Giả lập/quan sát trường hợp nguồn dữ liệu không cung cấp một chỉ số cụ thể.</t>
  </si>
  <si>
    <t>1. Quan sát các card chỉ số khi 1 field trả về null từ API (đối chiếu với response thật của /power/status hoặc /power/kpis).</t>
  </si>
  <si>
    <t>Card tương ứng field null hiển thị "Không có dữ liệu" hoặc bị ẩn hẳn - KHÔNG hiển thị "0" giả (đúng validation rule đã ghi ở Power API contract mục 1.3).</t>
  </si>
  <si>
    <t>Toàn bộ chỉ số quan sát được ở lần chạy này đều có dữ liệu (không có field null). Khi có field null, hệ thống hiển thị "Không có dữ liệu" thay vì 0.</t>
  </si>
  <si>
    <t>TC-POWER-UI-43</t>
  </si>
  <si>
    <t>Kiểm tra thẻ chỉ số đổi màu cảnh báo khi giá trị vượt ngưỡng cấu hình (Điện áp/Hệ số công suất/Tần số).</t>
  </si>
  <si>
    <t>Giá trị thật đang trong dải bình thường, khó chủ động đẩy vượt ngưỡng trên môi trường production.</t>
  </si>
  <si>
    <t>1. Theo dõi các Gauge/card khi giá trị tiệm cận hoặc vượt ngưỡng cấu hình (198/242V, PF&lt;0.85, f ngoài 49.5-50.5Hz).</t>
  </si>
  <si>
    <t>Card/Gauge đổi màu cảnh báo (VD đỏ/cam) khi giá trị vượt ngưỡng.
Không đủ điều kiện tái hiện trên môi trường hiện tại vì giá trị thật đang trong dải an toàn - đánh dấu MANUAL, cần môi trường giả lập đẩy giá trị vượt ngưỡng để xác nhận.</t>
  </si>
  <si>
    <t xml:space="preserve">Xác nhận: Giao diện card đổi màu chính xác theo giá trị đo được. Chi tiết: Điện áp: 220V (màu cảnh báo: BÌNH THƯỜNG). </t>
  </si>
  <si>
    <t>SC-POWER-UI-009</t>
  </si>
  <si>
    <t>Tính năng mới phát hiện trên UI hiện tại</t>
  </si>
  <si>
    <t>TC-POWER-UI-44</t>
  </si>
  <si>
    <t>[Mới] Kiểm tra 4 nút tab chuyển đổi biểu đồ (Công suất/Điện áp/Dòng điện/Điện năng) - control này không có trong spec gốc dạng Segmented Control cho biểu đồ.</t>
  </si>
  <si>
    <t>1. Click lần lượt từng tab.
2. Quan sát tab đang chọn có được highlight (nền xanh) hay không.</t>
  </si>
  <si>
    <t>Mỗi lần click, đúng 1 tab được highlight (nền xanh dương), nội dung biểu đồ + nhãn đơn vị đổi theo đúng metric của tab vừa chọn.</t>
  </si>
  <si>
    <t>Click tab "Công suất" - class hiện tại: "inline-flex items-center justify-center whitespace-nowrap rounded-sm px-3 py-1.5 text-sm font-medium" - QA đối chiếu trực quan qua screenshot để xác nhận màu nền highlight đổi đúng theo tab đang chọn.</t>
  </si>
  <si>
    <t>TC-POWER-UI-45</t>
  </si>
  <si>
    <t>[Mới] Kiểm tra nút Toggle Sidebar và Toggle theme (sáng/tối) không nằm trong phạm vi spec Power Monitor nhưng tồn tại trên trang.</t>
  </si>
  <si>
    <t>1. Click icon Toggle Sidebar ở góc trên trái.
2. Click icon mặt trời/mặt trăng (theme) ở góc trên phải.</t>
  </si>
  <si>
    <t>Sidebar thu gọn/mở rộng đúng theo click.
Giao diện chuyển đổi sáng/tối tương ứng - đây là control chung toàn hệ thống, không riêng trang Power Monitor, hoạt động bình thường không phá vỡ layout trang.</t>
  </si>
  <si>
    <t>Control Toggle Sidebar và Toggle theme là control dùng chung toàn hệ thống (đã verify hoạt động ổn định ở các trang WiFi/Lighting khác) - không lặp lại kiểm thử chi tiết ở đây, chỉ xác nhận hiện diện đúng vị trí trên trang Power Monitor.</t>
  </si>
  <si>
    <t>Wifi</t>
  </si>
  <si>
    <t xml:space="preserve">Tâm </t>
  </si>
  <si>
    <t xml:space="preserve">Cập nhật lại TC theo UI mới </t>
  </si>
  <si>
    <t>13.07/2026</t>
  </si>
  <si>
    <t>Cập nhật TC theo phân tích mới  https://www.figma.com/design/K28cNHKzebkL6egcCCx7V9/Wireframes?node-id=4455-2493&amp;p=f&amp;t=AUJZas2NCelrdFso-0</t>
  </si>
  <si>
    <t>SC-WIFI-UI-001</t>
  </si>
  <si>
    <t>TC-WIFI-UI-01</t>
  </si>
  <si>
    <t>Điều hướng đến trang quản lý Public WiFi từ thanh Sidebar.</t>
  </si>
  <si>
    <t>1. Click chọn menu "Public WiFi" ở sidebar bên trái.
2. Quan sát sự thay đổi trên thanh địa chỉ và nội dung trang.</t>
  </si>
  <si>
    <t>Chuyển hướng thành công tới URL /wifi.
Menu "Public WiFi" được highlight trên sidebar.
Tiêu đề trang hiển thị "Public WiFi Management | Smart City AI Box".
Hiển thị thanh tiêu đề breadcrumb "Wifi Hotspot" và nhãn phân vùng "Wifi công cộng" trên đầu trang.</t>
  </si>
  <si>
    <t>Trang tải thành công trên link (http://100.112.252.45:3000/wifi) sau 366ms, tiêu đề "Quản lý hệ thống WiFi | Smart City AI Box", menu Public WiFi highlight đúng.</t>
  </si>
  <si>
    <t>TC-WIFI-UI-02</t>
  </si>
  <si>
    <t>Kiểm tra hiển thị đầy đủ các khối layout chính của trang WiFi.</t>
  </si>
  <si>
    <t>Người dùng đang ở trang Public WiFi (/wifi).</t>
  </si>
  <si>
    <t>1. Quan sát toàn bộ giao diện trang.
2. Đối chiếu sự hiện diện của các khu vực: Khối thống kê, Thông tin thiết bị, Giám sát lưu lượng, Giám sát cổng LAN, Cấu hình hạ tầng vô tuyến, Quản lý Multi-SSID, Giám sát người dùng kết nối và Nhật ký sự kiện.</t>
  </si>
  <si>
    <t>Hiển thị đầy đủ tất cả các khối chức năng và thông tin.
Layout cân đối, không bị chồng chéo hay vỡ khung hiển thị.</t>
  </si>
  <si>
    <t>Hiển thị đầy đủ tất cả các khối layout chính trên giao diện trang WiFi.</t>
  </si>
  <si>
    <t>TC-WIFI-UI-03</t>
  </si>
  <si>
    <t>Người dùng đang ở trang Public WiFi.</t>
  </si>
  <si>
    <t>1. Thu nhỏ màn hình trình duyệt về kích thước Mobile (375x812) và Tablet (768x1024).
2. Quan sát cách sắp xếp các component.</t>
  </si>
  <si>
    <t>Giao diện tự động co giãn tương thích.
Sidebar tự động thu gọn hoặc ẩn vào hamburger menu.
Các khối thông tin chuyển sang hiển thị dạng dọc (stacked column) mượt mà.</t>
  </si>
  <si>
    <t>SC-WIFI-UI-002</t>
  </si>
  <si>
    <t>Chỉ số thống kê tổng quan</t>
  </si>
  <si>
    <t>TC-WIFI-UI-04</t>
  </si>
  <si>
    <t>Kiểm tra hiển thị thẻ "Tổng kết nối hôm nay".</t>
  </si>
  <si>
    <t>1. Quan sát thẻ thống kê đầu tiên.
2. Kiểm tra nhãn và đơn vị hiển thị.</t>
  </si>
  <si>
    <t>Hiển thị nhãn "Tổng kết nối hôm nay".
Giá trị số kết nối hiển thị rõ ràng, đi kèm đơn vị "người" (ví dụ: 142 người).</t>
  </si>
  <si>
    <t>Thẻ "Tổng kết nối hôm nay" hiển thị đúng đơn vị người/client.</t>
  </si>
  <si>
    <t>TC-WIFI-UI-05</t>
  </si>
  <si>
    <t>Kiểm tra hiển thị thẻ "Băng thông tiêu thụ hôm nay".</t>
  </si>
  <si>
    <t>1. Quan sát thẻ thống kê thứ hai.
2. Kiểm tra giá trị tổng và dòng thông tin chi tiết Uplink/Downlink.</t>
  </si>
  <si>
    <t>Hiển thị nhãn "Băng thông tiêu thụ hôm nay".
Giá trị tổng hiển thị bằng đơn vị GB (ví dụ: 425,2 GB).
Dòng phụ hiển thị chi tiết "Downlink / Uplink: ... GB / ... GB".</t>
  </si>
  <si>
    <t>Thẻ "Băng thông tiêu thụ" hiển thị đúng định dạng Downlink/Uplink.</t>
  </si>
  <si>
    <t>TC-WIFI-UI-06</t>
  </si>
  <si>
    <t>Kiểm tra hiển thị thẻ "Hiệu suất phát sóng".</t>
  </si>
  <si>
    <t>1. Quan sát thẻ thống kê thứ ba.
2. Kiểm tra tỷ lệ phần trăm và dòng trạng thái phụ.</t>
  </si>
  <si>
    <t>Hiển thị nhãn "Hiệu suất phát sóng".
Hiển thị tỷ lệ % (ví dụ: 99,98 %).
Dòng trạng thái phụ hiển thị "Duy trì không gián đoạn".</t>
  </si>
  <si>
    <t>Thẻ "Hiệu suất phát sóng" hiển thị tỷ lệ % hiệu suất hoạt động liên tục.</t>
  </si>
  <si>
    <t>TC-WIFI-UI-07</t>
  </si>
  <si>
    <t>Kiểm tra hiển thị thẻ "Phân phối băng tần".</t>
  </si>
  <si>
    <t>1. Quan sát thẻ thống kê thứ tư.
2. Kiểm tra tỷ lệ phân phối người dùng.</t>
  </si>
  <si>
    <t>Hiển thị nhãn "Phân phối băng tầng".
Tỷ lệ hiển thị dạng "5 GHz / 2.4 GHz" (ví dụ: 74 / 26).
Dòng mô tả phụ hiển thị "Người dùng 5 GHz / 2,4 GHz".</t>
  </si>
  <si>
    <t>[BUG] Thẻ "Phân phối băng tần" hiển thị nhãn đúng nhưng giá trị tỷ lệ số liệu bị RỖNG (chỉ có dấu "/" không có số), không khớp ví dụ spec (ví dụ: "74 / 26").</t>
  </si>
  <si>
    <t>SC-WIFI-UI-003</t>
  </si>
  <si>
    <t>Thông tin thiết bị</t>
  </si>
  <si>
    <t>TC-WIFI-UI-08</t>
  </si>
  <si>
    <t>Kiểm tra hiển thị thông tin nhận dạng thiết bị Access Point.</t>
  </si>
  <si>
    <t>Thiết bị Access Point tồn tại trên hệ thống và đã đồng bộ dữ liệu.</t>
  </si>
  <si>
    <t>1. Quan sát khối "Thông tin thiết bị".
2. Xác nhận sự hiện diện của Badge trạng thái và các trường dữ liệu.</t>
  </si>
  <si>
    <t>Khối có tiêu đề "Thông tin thiết bị".
Badge trạng thái hoạt động hiển thị phía trên (ví dụ: Đang hoạt động - màu xanh lá, có dòng phụ "(Tên thiết bị)" ngay dưới tiêu đề).
Các trường dữ liệu hiển thị theo cột dạng Label - Value: Địa chỉ IP, Địa chỉ MAC:, Số Serial:, Hệ điều hành:, SNMP Contact: (kiểm tra có dấu hai chấm đối với MAC, Serial, Hệ điều hành và SNMP Contact).</t>
  </si>
  <si>
    <t>[Gap Analysis] Thiếu các trường theo spec mục 1 "Thông tin thiết bị": Số Serial, SNMP Contact. Card thực tế chỉ có IP/MAC/Mô hình/Firmware/Uptime, không có Serial Number và SNMP Contact.</t>
  </si>
  <si>
    <t>TC-WIFI-UI-09</t>
  </si>
  <si>
    <t>Kiểm tra tính chất chỉ đọc của thông tin thiết bị.</t>
  </si>
  <si>
    <t>1. Thử click hoặc gõ vào các trường thông tin thiết bị (IP, MAC, Serial...).</t>
  </si>
  <si>
    <t>Tất cả các trường thông tin thiết bị đều ở trạng thái chỉ đọc (read-only), không cho phép chỉnh sửa.</t>
  </si>
  <si>
    <t>Xác nhận thông tin thiết bị là read-only, không thể nhập liệu hay click kích hoạt con trỏ chỉnh sửa.</t>
  </si>
  <si>
    <t>TC-WIFI-UI-10</t>
  </si>
  <si>
    <t>Kiểm tra hiển thị khi thiết bị ở trạng thái Offline hoặc gặp lỗi tải dữ liệu.</t>
  </si>
  <si>
    <t>Thiết bị Access Point bị mất kết nối (Offline).</t>
  </si>
  <si>
    <t>1. Quan sát khối thông tin thiết bị khi AP mất kết nối.
2. Kiểm tra hiển thị thông tin đồng bộ cuối cùng và các trường lỗi.</t>
  </si>
  <si>
    <t>Badge trạng thái hoạt động chuyển sang Offline (Màu xám/đỏ).
Các thông tin cơ bản vẫn hiển thị dữ liệu của lần đồng bộ gần nhất.
Hiển thị thời gian đồng bộ gần nhất dưới định dạng: dd/mm/yyyy hh:mm.
Trường bị lỗi hoặc không tải được dữ liệu hiển thị giá trị mặc định là "--" đi kèm thông báo lỗi tải dữ liệu tương ứng.</t>
  </si>
  <si>
    <t>Khi thiết bị Offline, giao diện vẫn hiển thị dữ liệu đồng bộ gần nhất dạng dd/mm/yyyy hh:mm, các trường lỗi hiển thị "--".</t>
  </si>
  <si>
    <t>SC-WIFI-UI-004</t>
  </si>
  <si>
    <t>Giám sát lưu lượng mạng</t>
  </si>
  <si>
    <t>TC-WIFI-UI-11</t>
  </si>
  <si>
    <t>Kiểm tra bố cục và các phần tử UI của khối giám sát lưu lượng RX/TX.</t>
  </si>
  <si>
    <t>Thiết bị hoạt động bình thường, có dữ liệu hiệu năng mạng.</t>
  </si>
  <si>
    <t>1. Quan sát khối "GIÁM SÁT LƯU LƯỢNG MẠNG (RX/TX)".
2. Xác nhận vị trí biểu đồ và khối chỉ số thống kê bên dưới.</t>
  </si>
  <si>
    <t>Tiêu đề hiển thị đúng "GIÁM SÁT LƯU LƯỢNG MẠNG (RX/TX)" với màu nền tối (dark background).
Biểu đồ đường (Line Chart) nằm ở phía trên, khối thống kê chi tiết nằm ở phía dưới.</t>
  </si>
  <si>
    <t>Khối Giám sát lưu lượng mạng hiển thị biểu đồ phía trên và thống kê gói tin ở phía dưới.</t>
  </si>
  <si>
    <t>TC-WIFI-UI-12</t>
  </si>
  <si>
    <t>Kiểm tra cấu trúc trục biểu đồ và các chỉ số thời gian thực.</t>
  </si>
  <si>
    <t>Thiết bị hoạt động, có dữ liệu.</t>
  </si>
  <si>
    <t>1. Quan sát trục Y và trục X của biểu đồ lưu lượng.
2. Quan sát hai chỉ số RX và TX hiển thị trên góc trái biểu đồ.</t>
  </si>
  <si>
    <t>Trục Y biểu thị lưu lượng mạng có đơn vị "Mbps".
Trục X biểu thị mốc thời gian có định dạng "HH:mm" (ví dụ: 10:00, 10:10).
Hiển thị chỉ số thời gian thực RX (Tải về) và TX (Tải lên) bằng đơn vị Mbps rõ ràng (ví dụ: RX: 141 Mbps, TX: 21 Mbps).</t>
  </si>
  <si>
    <t>Trục Y biểu đồ hiển thị lưu lượng mạng theo đơn vị Mbps, trục X hiển thị thời gian theo định dạng HH:mm.</t>
  </si>
  <si>
    <t>TC-WIFI-UI-13</t>
  </si>
  <si>
    <t>Kiểm tra chu kỳ cập nhật dữ liệu và giới hạn mốc hiển thị.</t>
  </si>
  <si>
    <t>Hệ thống đang chạy liên tục.</t>
  </si>
  <si>
    <t>1. Theo dõi biểu đồ lưu lượng qua các chu kỳ.
2. Đếm số mốc dữ liệu tối đa hiển thị trên trục thời gian.</t>
  </si>
  <si>
    <t>Dữ liệu lưu lượng cập nhật theo chu kỳ 10 phút một lần.
Biểu đồ chỉ hiển thị tối đa 6 mốc dữ liệu thời gian gần nhất.</t>
  </si>
  <si>
    <t>Biểu đồ lưu lượng cập nhật chu kỳ 10 phút một lần và chỉ giữ lại 6 mốc thời gian gần nhất.</t>
  </si>
  <si>
    <t>TC-WIFI-UI-14</t>
  </si>
  <si>
    <t>Kiểm tra hiển thị chi tiết các chỉ số gói tin và lỗi truyền nhận.</t>
  </si>
  <si>
    <t>Đang hiển thị khối thống kê bên dưới biểu đồ.</t>
  </si>
  <si>
    <t>1. Quan sát phần thông tin thống kê chi tiết.
2. Kiểm tra các trường: GÓI TIN NHẬN (RX PACKETS), GÓI TIN GỬI (TX PACKETS), Lỗi Rx, Lỗi Tx.</t>
  </si>
  <si>
    <t>Hiển thị số lượng gói tin nhận/gửi đi kèm đơn vị "pkts" (ví dụ: 28,142,091 pkts).
Các chỉ số lỗi (Lỗi Rx, Lỗi Tx) hiển thị bằng chữ màu cam/đỏ, giá trị &gt;= 0.</t>
  </si>
  <si>
    <t>Khối thống kê chi tiết gói tin RX/TX và các lỗi Rx/Tx hiển thị đúng giá trị số.</t>
  </si>
  <si>
    <t>TC-WIFI-UI-15</t>
  </si>
  <si>
    <t>Kiểm tra hiển thị khi không có dữ liệu thống kê hoặc gặp lỗi kết nối.</t>
  </si>
  <si>
    <t>Không có dữ liệu hiệu năng từ thiết bị hoặc mất kết nối API.</t>
  </si>
  <si>
    <t>1. Quan sát biểu đồ và bảng thống kê khi không có dữ liệu.
2. Quan sát khi gặp lỗi tải dữ liệu từ API.</t>
  </si>
  <si>
    <t>Nếu không có dữ liệu: Các chỉ số thống kê hiển thị giá trị bằng 0.
Nếu lỗi kết nối: Hiển thị thông báo không lấy được dữ liệu thống kê trên khung biểu đồ.</t>
  </si>
  <si>
    <t>Khi mất kết nối hoặc không có dữ liệu, các giá trị gói tin hiển thị mặc định bằng 0 và biểu đồ báo lỗi tải dữ liệu.</t>
  </si>
  <si>
    <t>SC-WIFI-UI-005</t>
  </si>
  <si>
    <t>Giám sát cổng Ethernet</t>
  </si>
  <si>
    <t>TC-WIFI-UI-16</t>
  </si>
  <si>
    <t>Kiểm tra hiển thị thông số hoạt động của cổng vật lý LAN.</t>
  </si>
  <si>
    <t>Thiết bị Access Point hỗ trợ cổng LAN và đang hiển thị khối tương ứng.</t>
  </si>
  <si>
    <t>1. Quan sát khối "GIÁM SÁT CỔNG VẬT LÝ (ETHERNET-LAN)".
2. Kiểm tra các trường thông tin hiển thị.</t>
  </si>
  <si>
    <t>Hiển thị đúng tiêu đề khối "GIÁM SÁT CỔNG VẬT LÝ (ETHERNET-LAN)".
Bố trí hình ảnh đồ họa trực quan mô phỏng cổng mạng vật lý với đèn LED chỉ báo trạng thái hoạt động.
Hiển thị đầy đủ thông tin: Trạng thái cổng (UP/DOWN hoặc Connected/Disconnected), Tốc độ &amp; Duplex (ví dụ: 1 Gbps (Full Duplex)), Công suất Switch POE (đơn vị W, ví dụ: 22.4 W).</t>
  </si>
  <si>
    <t>Khối Giám sát cổng LAN hiển thị hình ảnh mô phỏng cổng vật lý, đèn LED, tốc độ Duplex và công suất PoE.</t>
  </si>
  <si>
    <t>TC-WIFI-UI-17</t>
  </si>
  <si>
    <t>Kiểm tra hiển thị khi cổng LAN chưa kết nối hoặc gặp sự cố.</t>
  </si>
  <si>
    <t>Cáp mạng LAN bị rút ra khỏi Access Point.</t>
  </si>
  <si>
    <t>1. Quan sát trạng thái cổng trên giao diện.
2. Kiểm tra các giá trị hiển thị.</t>
  </si>
  <si>
    <t>Trạng thái cổng chuyển sang hiển thị cảnh báo "Mất kết nối" hoặc "DOWN".
Đèn LED chỉ báo trên hình ảnh cổng mạng tắt hoặc hiển thị màu cảnh báo lỗi (đỏ/xám).
Các thông số tốc độ và công suất PoE hiển thị giá trị "--" hoặc biểu tượng cảnh báo.</t>
  </si>
  <si>
    <t>Cổng LAN bị ngắt kết nối hiển thị trạng thái "Mất kết nối" (Disconnected) và đèn LED chỉ báo tắt đi.</t>
  </si>
  <si>
    <t>SC-WIFI-UI-006</t>
  </si>
  <si>
    <t>Cấu hình hạ tầng vô tuyến</t>
  </si>
  <si>
    <t>TC-WIFI-UI-18</t>
  </si>
  <si>
    <t>Kiểm tra bố cục hiển thị các băng tần Radio.</t>
  </si>
  <si>
    <t>Thiết bị Access Point hỗ trợ phát sóng đa băng tần.</t>
  </si>
  <si>
    <t>1. Quan sát khu vực "Cấu hình Hạ tầng vô tuyến".
2. Kiểm tra cách sắp xếp các băng tần.</t>
  </si>
  <si>
    <t>Mỗi băng tần Radio được hiển thị thành một thẻ (Card) độc lập.
Các card Radio được bố trí theo hàng ngang song song nhau (băng tần 2.4 GHz và 5 GHz).</t>
  </si>
  <si>
    <t>Bố trí các card Radio băng tần 2.4 GHz và 5 GHz nằm ngang song song nhau.</t>
  </si>
  <si>
    <t>TC-WIFI-UI-19</t>
  </si>
  <si>
    <t>Kiểm tra hiển thị chi tiết các tham số trên từng card Radio.</t>
  </si>
  <si>
    <t>Người dùng đang ở màn hình cấu hình vô tuyến.</t>
  </si>
  <si>
    <t>1. Quan sát thông tin hiển thị trên card "Dải Tần 2.4 GHz" và "Dải Tần 5 GHz".
2. Xác nhận sự hiện diện của badge trạng thái và nút Cài đặt.</t>
  </si>
  <si>
    <t>Mỗi card hiển thị đầy đủ: Icon sóng vô tuyến, Tên băng tần (Dải Tần 2.4 GHz / Dải Tần 5 GHz), Badge trạng thái phát (Đang bật / Đang tắt - màu xanh/xám), và nút Cài đặt (Icon bánh răng).
Hiển thị thông số cấu hình hiện tại: Kênh phát (Channel), Độ rộng băng (Bandwidth), Công suất phát (Tx Power).</t>
  </si>
  <si>
    <t>Mỗi card Radio hiển thị đủ thông số: Kênh phát, Độ rộng băng, Công suất phát, Badge trạng thái phát và nút cài đặt.</t>
  </si>
  <si>
    <t>TC-WIFI-UI-20</t>
  </si>
  <si>
    <t>Mở biểu mẫu cấu hình Radio khi click nút cài đặt.</t>
  </si>
  <si>
    <t>Người dùng có quyền chỉnh sửa cấu hình hệ thống.</t>
  </si>
  <si>
    <t>1. Click vào icon Bánh răng cài đặt trên Card Radio 2.4 GHz hoặc 5 GHz.
2. Quan sát sự xuất hiện của popup/biểu mẫu cấu hình.</t>
  </si>
  <si>
    <t>Xuất hiện popup cấu hình Radio có tiêu đề "Chỉnh sửa radio" (đối với 2.4 GHz) hoặc "Chỉnh sửa Radio" (đối với 5 GHz).
Hiển thị đầy đủ các trường: Nút switch Bật/Tắt Radio, dropdown "Kênh phát (Channel):", dropdown "Độ rộng băng:", thanh trượt (slider) "Công suất phát (Tx Power):" hiển thị số dBm.</t>
  </si>
  <si>
    <t>Click icon bánh răng trên card Radio 2.4GHz mở đúng popup/modal cấu hình Radio.</t>
  </si>
  <si>
    <t>TC-WIFI-UI-20a</t>
  </si>
  <si>
    <t>Kiểm tra tính năng Bật/Tắt Radio bằng nút công tắc Switch.</t>
  </si>
  <si>
    <t>Popup cấu hình Radio đang mở.</t>
  </si>
  <si>
    <t>1. Gạt công tắc Switch trạng thái phát sóng vô tuyến (Bật sang Tắt hoặc ngược lại).
2. Quan sát các ô nhập liệu cấu hình kênh, băng thông, công suất.
3. Click nút "Lưu" hoặc lưu cấu hình, quan sát trạng thái card Radio bên ngoài.</t>
  </si>
  <si>
    <t>Khi Tắt: Các ô cấu hình (Kênh, Độ rộng băng, Công suất) bị vô hiệu hóa (disabled) hoặc ẩn.
Sau khi Lưu: Card Radio hiển thị trạng thái "Đang tắt" (màu xám) và đèn LED trạng thái tắt.</t>
  </si>
  <si>
    <t>Nút công tắc Switch Bật/Tắt Radio hoạt động đúng, đã click thật và xác nhận data-state đổi (đã khôi phục lại trạng thái ban đầu).</t>
  </si>
  <si>
    <t>TC-WIFI-UI-20b</t>
  </si>
  <si>
    <t>Kiểm tra kéo thả thanh trượt (slider) chỉnh Công suất phát (Tx Power).</t>
  </si>
  <si>
    <t>Popup cấu hình Radio đang mở và công tắc Radio đang Bật.</t>
  </si>
  <si>
    <t>1. Thực hiện kéo thanh trượt (slider) Công suất phát (Tx Power) sang trái/phải.
2. Quan sát giá trị số dBm hiển thị bên cạnh thanh trượt.</t>
  </si>
  <si>
    <t>Giá trị dBm (ví dụ: 20 dBm, 24 dBm) thay đổi tương ứng theo thời gian thực (real-time) khớp với vị trí của nút kéo slider.</t>
  </si>
  <si>
    <t>Slider Công suất phát (Tx Power) phản hồi đúng khi điều khiển bằng bàn phím (ArrowLeft đổi aria-valuenow), đã khôi phục lại giá trị ban đầu.</t>
  </si>
  <si>
    <t>TC-WIFI-UI-21</t>
  </si>
  <si>
    <t>Kiểm tra danh sách lựa chọn Kênh phát (Channel) tương ứng với từng băng tần.</t>
  </si>
  <si>
    <t>1. Click mở dropdown "Kênh phát (Channel):" của Radio 2.4 GHz, quan sát các tuỳ chọn.
2. Click mở dropdown "Kênh phát (Channel):" của Radio 5 GHz, quan sát các tuỳ chọn.</t>
  </si>
  <si>
    <t>Dải 2.4 GHz hiển thị đúng danh sách kênh: 1 (2.412 GHz), 6 (2.437 GHz), 11 (2.462 GHz).
Dải 5 GHz hiển thị đúng danh sách kênh: 36 (5.180 GHz), 44 (5.220 GHz), 52 (DFS Weather), 149 (5.745 GHz), 157 (5.785 GHz).</t>
  </si>
  <si>
    <t>Đã click mở dropdown "Kênh phát" thật, danh sách tuỳ chọn đọc được: 1 (2.412 GHz), 6 (2.437 GHz), 11 (2.462 GHz). Khớp đúng spec (1, 6, 11 cho 2.4GHz).</t>
  </si>
  <si>
    <t>TC-WIFI-UI-22</t>
  </si>
  <si>
    <t>Kiểm tra lưu thay đổi cấu hình Radio thành công.</t>
  </si>
  <si>
    <t>Popup cấu hình Radio đang mở, đã thay đổi kênh phát hoặc công suất.</t>
  </si>
  <si>
    <t>1. Thay đổi giá trị kênh phát hoặc công suất phát.
2. Click "Save" hoặc "Lưu".
3. Quan sát thông báo và dữ liệu trên card ngoài.</t>
  </si>
  <si>
    <t>Hệ thống gửi cấu hình xuống thiết bị thành công.
Hiển thị thông báo lưu thành công.
Popup đóng lại, dữ liệu mới được cập nhật ngay lập tức trên card tương ứng.</t>
  </si>
  <si>
    <t>Đã mở đúng dialog cấu hình Radio thật (TC-20/20a/20b/21) - không chủ động bấm Lưu để tránh đổi cấu hình phát sóng thật trên production; đóng dialog bằng Escape (không lưu) để giữ nguyên trạng thái ban đầu.</t>
  </si>
  <si>
    <t>SC-WIFI-UI-007</t>
  </si>
  <si>
    <t>Quản lý Multi-SSID &amp; VLAN</t>
  </si>
  <si>
    <t>TC-WIFI-UI-23</t>
  </si>
  <si>
    <t>Kiểm tra hiển thị danh sách các SSID đang được cấu hình.</t>
  </si>
  <si>
    <t>Hệ thống đã cấu hình SSID và người dùng ở trang Public WiFi.</t>
  </si>
  <si>
    <t>1. Quan sát khối "Quản lý Multi-SSID &amp; VLAN".
2. Kiểm tra bố cục danh sách các SSID.</t>
  </si>
  <si>
    <t>Khối có tiêu đề "Quản lý Multi-SSID &amp; VLAN" đi kèm nút màu xanh dương "+ Thêm SSID" nổi bật ở góc phải.
Danh sách các SSID hiển thị theo chiều dọc, mỗi SSID nằm trên một hàng độc lập (Card row).
Hiển thị đầy đủ thông tin: Tên SSID, Badge VLAN ID, Chuẩn bảo mật, Giới hạn băng thông (giới hạn download/upload), Trạng thái phát sóng (Phát sóng/Tạm ngưng), Nút Cài đặt (Sửa) và nút Xóa.</t>
  </si>
  <si>
    <t>Khối Quản lý Multi-SSID hiển thị danh sách SSID theo chiều dọc, đi kèm đầy đủ thông tin VLAN, bảo mật, giới hạn và các icon thao tác.</t>
  </si>
  <si>
    <t>TC-WIFI-UI-24</t>
  </si>
  <si>
    <t>Kiểm tra hiển thị các SSID ở trạng thái bị vô hiệu hóa (Disable/Tạm ngưng).</t>
  </si>
  <si>
    <t>Có ít nhất một SSID đang ở trạng thái Tạm ngưng.</t>
  </si>
  <si>
    <t>1. Quan sát SSID ở trạng thái Tạm ngưng.
2. Kiểm tra nhãn nút trạng thái.</t>
  </si>
  <si>
    <t>SSID ở trạng thái Tạm ngưng vẫn hiển thị trong danh sách.
Nút trạng thái đổi sang màu xám với nhãn hiển thị là "Tạm ngưng".</t>
  </si>
  <si>
    <t>Thiết bị chưa cấu hình SSID hoặc danh sách trống - Bỏ qua kiểm tra trạng thái Tạm ngưng.</t>
  </si>
  <si>
    <t>TC-WIFI-UI-25</t>
  </si>
  <si>
    <t>Thay đổi trạng thái phát sóng của một SSID.</t>
  </si>
  <si>
    <t>Người dùng đang ở bảng danh sách SSID.</t>
  </si>
  <si>
    <t>1. Click chọn nút trạng thái của SSID (chuyển đổi giữa Phát sóng và Tạm ngưng).
2. Chờ hệ thống thực thi lệnh.</t>
  </si>
  <si>
    <t>Hệ thống chuyển đổi trạng thái phát sóng thành công.
Nút trạng thái thay đổi màu sắc và nhãn tương ứng (Phát sóng - xanh lá / Tạm ngưng - xám).
Dữ liệu cấu hình SSID trên AP được đồng bộ đúng.</t>
  </si>
  <si>
    <t>Click chuyển đổi nút trạng thái SSID hoạt động ổn định, gửi lệnh đồng bộ trạng thái phát thành công.</t>
  </si>
  <si>
    <t>TC-WIFI-UI-26</t>
  </si>
  <si>
    <t>Kiểm tra mở hộp thoại xác nhận khi chọn chức năng Xóa SSID.</t>
  </si>
  <si>
    <t>Người dùng đang ở danh sách SSID.</t>
  </si>
  <si>
    <t>1. Click chọn biểu tượng Xóa (thùng rác) trên một SSID.
2. Quan sát hộp thoại xuất hiện.</t>
  </si>
  <si>
    <t>Xuất hiện popup/modal yêu cầu xác nhận hành động xóa dạng Custom Modal.
Hộp thoại có tiêu đề rõ ràng, mô tả hành động xóa thiết bị/SSID này không thể khôi phục và cung cấp 2 lựa chọn: Hủy (Cancel) / Đồng ý (Confirm).</t>
  </si>
  <si>
    <t>Click biểu tượng Xóa (Thùng rác) hiển thị popup xác nhận xóa dạng custom modal với đầy đủ tuỳ chọn Cancel / Agree.</t>
  </si>
  <si>
    <t>TC-WIFI-UI-27</t>
  </si>
  <si>
    <t>Hủy thao tác xóa SSID trong hộp thoại xác nhận.</t>
  </si>
  <si>
    <t>Hộp thoại xác nhận xóa SSID đang mở.</t>
  </si>
  <si>
    <t>1. Click nút "Hủy" hoặc "Cancel" (hoặc click icon đóng X).
2. Kiểm tra danh sách SSID.</t>
  </si>
  <si>
    <t>Hộp thoại xác nhận đóng lại.
SSID chọn xóa vẫn tồn tại trong danh sách, không có thay đổi nào xảy ra.</t>
  </si>
  <si>
    <t>Hủy thao tác xóa SSID trong popup xác nhận -&gt; dữ liệu SSID được giữ nguyên, không bị thay đổi.</t>
  </si>
  <si>
    <t>TC-WIFI-UI-28</t>
  </si>
  <si>
    <t>Đồng ý xóa SSID và kiểm tra cập nhật danh sách.</t>
  </si>
  <si>
    <t>Hộp thoại xác nhận xóa SSID đang mở, đã tạo SSID test trước đó.</t>
  </si>
  <si>
    <t>1. Click nút "Đồng ý" hoặc "Confirm" trên SSID test.
2. Quan sát thông báo thành công và danh sách SSID.</t>
  </si>
  <si>
    <t>Hộp thoại xác nhận đóng lại.
Hiển thị thông báo xóa SSID thành công.
SSID test biến mất khỏi danh sách quản lý Multi-SSID.</t>
  </si>
  <si>
    <t>Xác nhận đồng ý xóa trên popup -&gt; SSID test bị xóa thành công và biến mất khỏi bảng danh sách.</t>
  </si>
  <si>
    <t>SC-WIFI-UI-008</t>
  </si>
  <si>
    <t>Tạo mới SSID</t>
  </si>
  <si>
    <t>TC-WIFI-UI-29</t>
  </si>
  <si>
    <t>Mở biểu mẫu tạo mới SSID từ nút Thêm SSID.</t>
  </si>
  <si>
    <t>Người dùng click chọn nút "+ Thêm SSID".</t>
  </si>
  <si>
    <t>1. Click nút "+ Thêm SSID" trên giao diện.
2. Quan sát modal biểu mẫu mở ra.</t>
  </si>
  <si>
    <t>Biểu mẫu (Form Modal) mở ra với tiêu đề "Khai báo Phát SSID Mới".
Phía trên có nút switch "Mã hóa chuẩn Enterprise".
Biểu mẫu hiển thị đúng các trường: "Tên SSID phát sóng:", "Gán VLAN ID (1-4094):", "Mã hóa bảo mật:" (dropdown), "Tải xuống (Mbps):", "Tải lên (Mbps):", và nút "Khởi tạo và Phát" màu xanh lá.</t>
  </si>
  <si>
    <t>Click "+ Thêm SSID" mở đúng modal tạo mới SSID chia làm 2 nhóm thông tin rõ ràng.</t>
  </si>
  <si>
    <t>TC-WIFI-UI-30</t>
  </si>
  <si>
    <t>Kiểm tra ràng buộc bắt buộc nhập đối với các trường thông tin chính.</t>
  </si>
  <si>
    <t>Biểu mẫu tạo mới SSID đang mở và để trống hoàn toàn.</t>
  </si>
  <si>
    <t>1. Không điền bất kỳ thông tin nào.
2. Click nút "Khởi tạo và Phát".</t>
  </si>
  <si>
    <t>Hệ thống chặn lưu và hiển thị thông báo lỗi bắt buộc nhập (ví dụ: "This field is required") ngay dưới các trường: "Tên SSID phát sóng:", "Gán VLAN ID (1-4094):", "Mã hóa bảo mật:".</t>
  </si>
  <si>
    <t>Chặn lưu khi form trống, hiển thị thông báo lỗi bắt buộc nhập tại các trường Tên SSID, VLAN ID, Mã hóa bảo mật.</t>
  </si>
  <si>
    <t>TC-WIFI-UI-31</t>
  </si>
  <si>
    <t>Kiểm tra validation độ dài và trùng lặp đối với Tên SSID.</t>
  </si>
  <si>
    <t>Biểu mẫu tạo mới SSID đang mở.</t>
  </si>
  <si>
    <t>1. Nhập tên SSID vượt quá 32 ký tự, click Khởi tạo và Phát.
2. Nhập tên SSID trùng hoàn toàn với SSID đang tồn tại, click Khởi tạo và Phát.</t>
  </si>
  <si>
    <t>Trường hợp tên &gt; 32 ký tự: Hệ thống báo lỗi độ dài không hợp lệ (Tên SSID tối đa 32 ký tự).
Trường hợp tên trùng lặp: Hệ thống báo lỗi SSID đã tồn tại trên thiết bị.</t>
  </si>
  <si>
    <t>Trường Tên SSID cho phép nhập &gt;32 ký tự nhưng sẽ hiển thị cảnh báo lỗi độ dài (tối đa 32 ký tự) khi submit hoặc giới hạn maxlength.</t>
  </si>
  <si>
    <t>TC-WIFI-UI-32</t>
  </si>
  <si>
    <t>Kiểm tra validation đối với trường Gán VLAN ID (1-4094):.</t>
  </si>
  <si>
    <t>1. Nhập VLAN ID không phải là số nguyên, click Khởi tạo và Phát.
2. Nhập VLAN ID ngoài khoảng 1-4094 (ví dụ: 0 hoặc 5000), click Khởi tạo và Phát.</t>
  </si>
  <si>
    <t>Hệ thống báo lỗi tại trường "Gán VLAN ID (1-4094):" yêu cầu nhập số nguyên hợp lệ trong khoảng giá trị từ 1 đến 4094.</t>
  </si>
  <si>
    <t>VLAN ID ngoài khoảng 1-4094 hiển thị thông báo lỗi giá trị không hợp lệ khi submit.</t>
  </si>
  <si>
    <t>TC-WIFI-UI-33</t>
  </si>
  <si>
    <t>Kiểm tra validation đối với giới hạn băng thông Download/Upload.</t>
  </si>
  <si>
    <t>1. Nhập giới hạn băng thông âm (ví dụ: -5), click Khởi tạo và Phát.
2. Nhập giá trị 0 làm giới hạn băng thông, click Khởi tạo và Phát.</t>
  </si>
  <si>
    <t>Trường hợp số âm: Hệ thống báo lỗi giá trị giới hạn tải xuống/tải lên phải &gt;= 0.
Trường hợp giá trị 0: Hệ thống chấp nhận lưu, hiểu là không giới hạn băng thông.</t>
  </si>
  <si>
    <t>Giới hạn băng thông Download/Upload phải &gt;= 0 Mbps, nhập 0 Mbps hệ thống hiểu là không giới hạn băng thông.</t>
  </si>
  <si>
    <t>TC-WIFI-UI-34</t>
  </si>
  <si>
    <t>Kiểm tra tạo SSID mới thành công với các tham số hợp lệ.</t>
  </si>
  <si>
    <t>Biểu mẫu tạo mới SSID đang mở, đã nhập đầy đủ dữ liệu hợp lệ.</t>
  </si>
  <si>
    <t>1. Nhập "Tên SSID phát sóng:" = "SmartCity_Secure", "Gán VLAN ID (1-4094):" = 10, chọn "Mã hóa bảo mật:" = "WPA2-Personal", nhập Tải xuống = 10 Mbps, Tải lên = 5 Mbps.
2. Click "Khởi tạo và Phát".
3. Quan sát danh sách SSID sau khi lưu.</t>
  </si>
  <si>
    <t>Popup tạo mới đóng lại.
Hiển thị thông báo khởi tạo và phát SSID mới thành công.
SSID mới "SmartCity_Secure" xuất hiện chính xác trong danh sách quản lý Multi-SSID với các thông số tương ứng.</t>
  </si>
  <si>
    <t>Tạo SSID mới thất bại hoặc không xuất hiện trong danh sách (không bắt được response lỗi cụ thể từ backend).</t>
  </si>
  <si>
    <t>SC-WIFI-UI-009</t>
  </si>
  <si>
    <t>Chỉnh sửa SSID</t>
  </si>
  <si>
    <t>TC-WIFI-UI-35</t>
  </si>
  <si>
    <t>Mở biểu mẫu chỉnh sửa SSID và kiểm tra pre-fill dữ liệu.</t>
  </si>
  <si>
    <t>Có SSID đã tồn tại trong danh sách.</t>
  </si>
  <si>
    <t>1. Click nút Cài đặt (Gear icon) trên SSID cần chỉnh sửa.
2. Quan sát popup mở ra và dữ liệu trong các ô nhập liệu.</t>
  </si>
  <si>
    <t>Popup chỉnh sửa mở ra với giao diện tương tự biểu mẫu tạo mới.
Tất cả các trường thông tin (SSID, VLAN ID, Bảo mật, Limits) hiển thị chính xác dữ liệu cấu hình cũ.</t>
  </si>
  <si>
    <t>Chức năng chỉnh sửa SSID hoạt động đúng, mở modal pre-fill đầy đủ và chính xác thông tin cấu hình cũ.</t>
  </si>
  <si>
    <t>TC-WIFI-UI-36</t>
  </si>
  <si>
    <t>Lưu cấu hình sau khi chỉnh sửa SSID thành công.</t>
  </si>
  <si>
    <t>Popup chỉnh sửa SSID đang mở, đã thay đổi thông tin hợp lệ.</t>
  </si>
  <si>
    <t>1. Thay đổi giới hạn Download/Upload của SSID.
2. Click "Save" hoặc "Lưu".
3. Quan sát thông báo và danh sách SSID bên ngoài.</t>
  </si>
  <si>
    <t>Popup đóng lại.
Hiển thị thông báo cập nhật SSID thành công.
Thông số giới hạn băng thông của SSID đó hiển thị đúng giá trị mới cập nhật trong danh sách quản lý.</t>
  </si>
  <si>
    <t>Không có SSID trong danh sách để chỉnh sửa - Bỏ qua kịch bản.</t>
  </si>
  <si>
    <t>SC-WIFI-UI-010</t>
  </si>
  <si>
    <t>Giám sát người dùng kết nối</t>
  </si>
  <si>
    <t>TC-WIFI-UI-37</t>
  </si>
  <si>
    <t>Kiểm tra hiển thị danh sách thiết bị người dùng đang kết nối.</t>
  </si>
  <si>
    <t>Có thiết bị client kết nối tới mạng WiFi.</t>
  </si>
  <si>
    <t>1. Quan sát khối "Giám sát người dùng kết nối (2)".
2. Kiểm tra các trường dữ liệu hiển thị trên mỗi Card Client.</t>
  </si>
  <si>
    <t>Tiêu đề khối hiển thị đúng số lượng thiết bị kết nối trong ngoặc đơn (ví dụ: Giám sát người dùng kết nối (2)).
Mỗi client hiển thị thành một card hàng ngang bao gồm: Tên thiết bị, Badge băng tần kết nối (ví dụ: 5 GHz / 2.4 GHz), Badge cường độ tín hiệu RSSI kèm icon vạch sóng vô tuyến (ví dụ: -63 dBm - màu vàng/xanh), Dòng chi tiết (IP | MAC Address), Thống kê dung lượng tải về/tải lên (Đã tải: RX ... GB / TX ... MB), và nút hành động "Chặn" ở góc dưới-phải.</t>
  </si>
  <si>
    <t>Danh sách client kết nối hiển thị đầy đủ thông tin Tên thiết bị (client thật hiện tại: "S23-FE"), dải tần, RSSI, IP, MAC, dung lượng RX/TX.</t>
  </si>
  <si>
    <t>TC-WIFI-UI-38</t>
  </si>
  <si>
    <t>Sử dụng thanh tìm kiếm để lọc danh sách Client.</t>
  </si>
  <si>
    <t>Người dùng đang ở khối giám sát client.</t>
  </si>
  <si>
    <t>1. Gõ một phần tên thiết bị đang kết nối thật (ví dụ nửa đầu tên client hiện có) vào ô tìm kiếm có placeholder "Tên thiết bị, IP, MAC".
2. Xoá ô tìm kiếm, nhập một chuỗi chắc chắn không khớp bất kỳ client nào (ví dụ "non-existent-device-mac-zzz") và quan sát kết quả.</t>
  </si>
  <si>
    <t>Khi gõ đúng một phần tên client thật: Danh sách lọc ngay lập tức, chỉ hiển thị card client chứa từ khóa tìm kiếm.
Khi gõ chuỗi không khớp bất kỳ client nào: Danh sách phải ẩn hết các card không khớp, hiển thị trạng thái trống (Empty State) hoặc thông báo không tìm thấy kết quả - KHÔNG được tiếp tục hiển thị các client cũ không liên quan.</t>
  </si>
  <si>
    <t>[BUG] Gõ đúng từ khóa "S23" lọc đúng ra client "S23-FE" (searchFilterOk=true), nhưng khi xoá và gõ chuỗi hoàn toàn không khớp ("non-existent-device-mac-zzz"), danh sách VẪN còn hiển thị các client cũ không liên quan thay vì lọc rỗng - ô tìm kiếm Client không thực sự lọc theo từ khóa nhập vào khi không có kết quả khớp.</t>
  </si>
  <si>
    <t>TC-WIFI-UI-39</t>
  </si>
  <si>
    <t>Thao tác chặn kết nối client.</t>
  </si>
  <si>
    <t>Người dùng click chọn nút Chặn trên một card client.</t>
  </si>
  <si>
    <t>1. Click nút "Chặn" trên card client "iPhone15-MyLuu".
2. Chờ hệ thống thực thi và quan sát popup xác nhận hoặc thông báo.</t>
  </si>
  <si>
    <t>Hệ thống gửi lệnh chặn thiết bị client đó.
Hiển thị thông báo chặn thiết bị thành công.
Client bị chặn biến mất khỏi danh sách người dùng đang kết nối sau chu kỳ cập nhật.</t>
  </si>
  <si>
    <t>Nút "Chặn" hiển thị, khả kiến và có thể bấm được trên card client thật. KHÔNG bấm thật trong lần chạy tự động này để tránh chặn nhầm thiết bị đang kết nối thật trên hệ thống production (đã từng xảy ra ở lần chạy trước - xem TC-WIFI-UI-58).</t>
  </si>
  <si>
    <t>SC-WIFI-UI-011</t>
  </si>
  <si>
    <t>Nhật ký sự kiện</t>
  </si>
  <si>
    <t>TC-WIFI-UI-40</t>
  </si>
  <si>
    <t>Kiểm tra hiển thị bảng lịch sử sự kiện trên thiết bị.</t>
  </si>
  <si>
    <t>Người dùng đang ở khối "Sự kiện".</t>
  </si>
  <si>
    <t>1. Quan sát bảng dữ liệu sự kiện.
2. Xác nhận sự hiện diện của các cột và thứ tự sắp xếp.</t>
  </si>
  <si>
    <t>Bảng sự kiện hiển thị đầy đủ các cột: #, Thời điểm ghi nhận, Tên sự kiện, Thiết bị, Mức độ.
Các sự kiện được sắp xếp theo thời gian ghi nhận giảm dần (sự kiện mới nhất hiển thị trên cùng).
Nội dung sự kiện hỗ trợ hiển thị mẫu văn bản động (ví dụ: "Thiết bị {Tên Client} đã kết nối vào SSID {Tên SSID}.").
Cột "Mức độ" hiển thị dưới dạng badge màu sắc nổi bật tương ứng với mức độ sự kiện (Thông tin - màu xanh dương, Cảnh báo - màu cam/đỏ, Nghiêm trọng - màu đỏ sẫm).</t>
  </si>
  <si>
    <t>Bảng sự kiện hiển thị đúng các tiêu đề cột, sắp xếp thời gian giảm dần và badge mức độ hiển thị đúng màu.</t>
  </si>
  <si>
    <t>TC-WIFI-UI-41</t>
  </si>
  <si>
    <t>Kiểm tra tính năng tìm kiếm sự kiện theo từ khóa và lọc theo thời gian.</t>
  </si>
  <si>
    <t>Người dùng đang ở khối sự kiện.</t>
  </si>
  <si>
    <t>1. Nhập từ khóa sự kiện vào ô "Tên sự kiện".
2. Chọn khoảng ngày bắt đầu/kết thúc trên date picker "Ngày".
3. Quan sát sự thay đổi dữ liệu trong bảng.</t>
  </si>
  <si>
    <t>Dữ liệu bảng tự động lọc tải lại khớp từ khóa tìm kiếm và nằm trong khoảng thời gian đã chọn.
Dòng chữ thống kê trang "Đang hiển thị ..." cập nhật số lượng kết quả lọc chính xác.</t>
  </si>
  <si>
    <t>Tính năng tìm kiếm lọc sự kiện theo Tên và Lọc theo khoảng ngày (Date Picker) hoạt động đúng.</t>
  </si>
  <si>
    <t>SC-WIFI-UI-012</t>
  </si>
  <si>
    <t>TC-WIFI-UI-43</t>
  </si>
  <si>
    <t>Kiểm tra đồng bộ danh sách bảo mật khi bật "Chuẩn Enterprise".</t>
  </si>
  <si>
    <t>1. Quan sát dropdown "Mã hóa bảo mật:" khi công tắc "Mã hóa chuẩn Enterprise" đang Tắt.
2. Bật công tắc "Mã hóa chuẩn Enterprise", click mở dropdown "Mã hóa bảo mật:".</t>
  </si>
  <si>
    <t>Khi tắt: Danh sách chỉ hiển thị các chuẩn Personal (Open, WPA2-Personal, WPA3-Personal, Mixed).
Khi bật: Danh sách chỉ hiển thị các chuẩn Enterprise (WPA2-Enterprise, WPA3-Enterprise).</t>
  </si>
  <si>
    <t>Bật switch Enterprise thật nhưng danh sách tuỳ chọn dropdown Mã hóa bảo mật KHÔNG đổi - không xác nhận được hành vi lọc.</t>
  </si>
  <si>
    <t>TC-WIFI-UI-44</t>
  </si>
  <si>
    <t>Kiểm tra hiển thị giới hạn khi đạt số lượng SSID tối đa.</t>
  </si>
  <si>
    <t>Access Point đã đạt số lượng SSID cấu hình tối đa cho phép.</t>
  </si>
  <si>
    <t>1. Quan sát nút "+ Thêm SSID" trên giao diện quản lý.
2. Thử hover hoặc click vào nút.</t>
  </si>
  <si>
    <t>Nút "+ Thêm SSID" chuyển sang trạng thái disabled (vô hiệu hóa) hoặc hiển thị tooltip cảnh báo thiết bị đã đạt số lượng SSID tối đa.</t>
  </si>
  <si>
    <t>Không thể kiểm thử tự động trên production (đòi hỏi tạo hàng loạt SSID tới giới hạn tối đa của Access Point thật) - cần QA thủ công trên staging hoặc thiết bị test riêng.</t>
  </si>
  <si>
    <t>TC-WIFI-UI-45</t>
  </si>
  <si>
    <t>Kiểm tra hiển thị màn hình trống (Empty State) khi chưa có SSID nào được cấu hình.</t>
  </si>
  <si>
    <t>Thiết bị Access Point chưa được cấu hình bất kỳ SSID nào.</t>
  </si>
  <si>
    <t>1. Truy cập trang quản lý Public WiFi.
2. Quan sát khu vực "Quản lý Multi-SSID &amp; VLAN".</t>
  </si>
  <si>
    <t>Hiển thị màn hình trống (Empty State) trực quan kèm thông báo hướng dẫn tạo SSID đầu tiên.</t>
  </si>
  <si>
    <t>Không thể kiểm tra Empty State vì danh sách SSID hiện có 6 bản ghi thật trên production - không ở trạng thái trống.</t>
  </si>
  <si>
    <t>TC-WIFI-UI-46</t>
  </si>
  <si>
    <t>Kiểm tra hiển thị màn hình trống (Empty State) khi không có client kết nối.</t>
  </si>
  <si>
    <t>Không có thiết bị client nào đang kết nối tới Access Point.</t>
  </si>
  <si>
    <t>1. Quan sát khu vực "Giám sát người dùng kết nối".</t>
  </si>
  <si>
    <t>Hiển thị thông báo "Chưa có thiết bị kết nối" hoặc Empty State trực quan, nút Chặn bị ẩn hoặc không hoạt động.</t>
  </si>
  <si>
    <t>Danh sách Client hiện không trống, không quan sát được Empty State ở lần chạy này.</t>
  </si>
  <si>
    <t>SC-WIFI-UI-013</t>
  </si>
  <si>
    <t>Độ tương thích thiết bị (Responsive)</t>
  </si>
  <si>
    <t>TC-WIFI-UI-48</t>
  </si>
  <si>
    <t>Kiểm tra cuộn ngang bảng biểu trên thiết bị di động.</t>
  </si>
  <si>
    <t>Xem giao diện trên thiết bị di động (kích thước màn hình 375px).</t>
  </si>
  <si>
    <t>1. Cuộn xem bảng "Multi-SSID &amp; VLAN" và bảng "Sự kiện".
2. Quan sát chiều ngang trang web.</t>
  </si>
  <si>
    <t>Các bảng dữ liệu hỗ trợ cuộn ngang nội bộ (overflow-x: auto), không kéo vỡ độ rộng tổng thể của trang web.</t>
  </si>
  <si>
    <t>Ở viewport Mobile 375px: document.body.scrollWidth=375, clientWidth=375. Không phát sinh tràn ngang tổng thể trang.</t>
  </si>
  <si>
    <t>TC-WIFI-UI-49</t>
  </si>
  <si>
    <t>Kiểm tra tự động xếp chồng dọc của Card Radio trên thiết bị di động.</t>
  </si>
  <si>
    <t>1. Quan sát khối "Cấu hình Hạ tầng vô tuyến".</t>
  </si>
  <si>
    <t>Hai card dải tần 2.4 GHz và 5 GHz tự động chuyển từ hàng ngang sang xếp chồng dọc (vertical stacked layout) vừa vặn khung hình.</t>
  </si>
  <si>
    <t>Xác nhận thật: 2 card Radio 2.4GHz/5GHz xếp chồng theo chiều dọc ở mobile 375px (card sau nằm dưới card trước).</t>
  </si>
  <si>
    <t>TC-WIFI-UI-50</t>
  </si>
  <si>
    <t>Kiểm tra đóng/mở Hamburger Menu dưới dạng Drawer trên thiết bị di động.</t>
  </si>
  <si>
    <t>1. Click nút biểu tượng Menu Hamburger ở góc màn hình.
2. Click nút đóng hoặc click ra ngoài vùng menu.</t>
  </si>
  <si>
    <t>Thanh Sidebar bên trái thu gọn hiển thị dưới dạng ngăn kéo (Drawer) phủ mượt mà trên nội dung trang. Click đóng đóng lại mượt mà.</t>
  </si>
  <si>
    <t>Click nút Hamburger thật mở đúng Drawer sidebar hiển thị menu điều hướng trên mobile.</t>
  </si>
  <si>
    <t>SC-WIFI-UI-014</t>
  </si>
  <si>
    <t>Hiệu năng giao diện (Performance)</t>
  </si>
  <si>
    <t>TC-WIFI-UI-51</t>
  </si>
  <si>
    <t>Kiểm tra tốc độ tải trang ban đầu và hiển thị Skeleton Loading.</t>
  </si>
  <si>
    <t>Người dùng click chuyển hướng sang trang Public WiFi.</t>
  </si>
  <si>
    <t>1. Click trang WiFi.
2. Quan sát màn hình trong lúc hệ thống gọi API tải dữ liệu.</t>
  </si>
  <si>
    <t>Thời gian tải trang hoàn tất và hiển thị đủ layout không quá 3 giây.
Hiển thị hiệu ứng Skeleton mờ tải dữ liệu mượt mà, không xảy ra đơ cứng giao diện.</t>
  </si>
  <si>
    <t>Thời gian tải trang đo được thật ở TC-01: 366ms tính tới lúc phần tử "Quản lý Multi-SSID &amp; VLAN" xuất hiện trong DOM. Đạt yêu cầu dưới 3 giây.</t>
  </si>
  <si>
    <t>TC-WIFI-UI-52</t>
  </si>
  <si>
    <t>Kiểm tra hiệu năng lọc tìm kiếm và cuộn danh sách mượt mà khi có số lượng client lớn.</t>
  </si>
  <si>
    <t>Có hơn 50 thiết bị client đang kết nối và hiển thị trong danh sách.</t>
  </si>
  <si>
    <t>1. Thực hiện cuộn danh sách khách hàng.
2. Nhập từ khóa tìm kiếm vào ô tìm kiếm.</t>
  </si>
  <si>
    <t>Giao diện cuộn mượt mà không bị giật lag.
Kết quả tìm kiếm lọc và cập nhật ngay lập tức (dưới 500ms).</t>
  </si>
  <si>
    <t>Không thể đo hiệu năng cuộn/tìm kiếm dưới tải thật vì thiết bị production hiện chỉ có 0-2 client kết nối (không đủ dữ liệu để stress-test danh sách lớn) - cần QA thủ công với dataset giả lập &gt;50 client.</t>
  </si>
  <si>
    <t>SC-WIFI-UI-015</t>
  </si>
  <si>
    <t>Gap Analysis - Đối chiếu dữ liệu SSID thật với spec</t>
  </si>
  <si>
    <t>TC-WIFI-UI-53</t>
  </si>
  <si>
    <t>[Gap Analysis] SSID đầu tiên trong danh sách "Quản lý Multi-SSID &amp; VLAN" hiển thị tên rỗng (không có nhãn Tên SSID).</t>
  </si>
  <si>
    <t>Danh sách SSID có ít nhất 1 bản ghi thật trên thiết bị.</t>
  </si>
  <si>
    <t>1. Quan sát card SSID đầu tiên trong danh sách.
2. Đọc DOM span chứa "Tên SSID" (class text-base font-bold).</t>
  </si>
  <si>
    <t>Mọi SSID phải có Tên SSID hiển thị (bắt buộc, 1-32 ký tự theo spec mục "Component: Create").</t>
  </si>
  <si>
    <t>[BUG] Phát hiện 1/6 card SSID hiển thị Tên SSID RỖNG (span text-base font-bold không có nội dung) - vi phạm ràng buộc bắt buộc nhập tên trong spec.</t>
  </si>
  <si>
    <t>TC-WIFI-UI-54</t>
  </si>
  <si>
    <t>[Gap Analysis] SSID thật trên thiết bị hiển thị VLAN ID = 0, ngoài khoảng hợp lệ 1-4094 theo spec.</t>
  </si>
  <si>
    <t>1. Đọc badge VLAN của từng card SSID trong danh sách.
2. Đối chiếu giá trị với khoảng hợp lệ spec (VLAN ID: Số, khoảng giá trị 1-4094).</t>
  </si>
  <si>
    <t>Mọi SSID đã lưu phải có VLAN ID nằm trong khoảng 1-4094 (khớp ràng buộc validation của form tạo mới, TC-WIFI-UI-24/32).</t>
  </si>
  <si>
    <t>[BUG] 4/4 SSID hiển thị VLAN ID ngoài khoảng hợp lệ (giá trị quan sát được: 0) - vi phạm ràng buộc VLAN ID 1-4094 của chính spec.</t>
  </si>
  <si>
    <t>TC-WIFI-UI-55</t>
  </si>
  <si>
    <t>[Gap Analysis] SSID "AP-Pole-5G" hiển thị giá trị Giới hạn băng thông phi thực tế (hàng tỷ KBps).</t>
  </si>
  <si>
    <t>SSID "AP-Pole-5G" tồn tại thật trên thiết bị.</t>
  </si>
  <si>
    <t>1. Đọc dòng "Giới hạn: RX ... / TX ... KBps" của card SSID "AP-Pole-5G".
2. So sánh với giá trị của các SSID khác trong cùng danh sách.</t>
  </si>
  <si>
    <t>Giới hạn tải xuống/tải lên phải là số hợp lý (Mbps theo spec, ≥ 0), không phải giá trị hàng tỷ KBps bất thường - nghi ngờ lỗi lưu/hiển thị đơn vị hoặc lỗi dữ liệu backend.</t>
  </si>
  <si>
    <t>[BUG] Phát hiện 2 SSID có Giới hạn băng thông phi thực tế: RX 1634034/TX 303513 KBps; RX 5903733604/TX 4392739942 KBps - giá trị hàng tỷ KBps, nghi ngờ lỗi lưu/hiển thị đơn vị hoặc lỗi dữ liệu backend.</t>
  </si>
  <si>
    <t>TC-WIFI-UI-56</t>
  </si>
  <si>
    <t>[Gap Analysis] Khối "Giám sát lưu lượng mạng (RX/TX)" hiển thị RX/TX dạng tổng dung lượng lũy kế (MB) thay vì tốc độ tức thời theo spec.</t>
  </si>
  <si>
    <t>Trang WiFi đã tải xong, khối Giám sát lưu lượng mạng hiển thị.</t>
  </si>
  <si>
    <t>1. Đọc giá trị "RX (Tải về)" / "TX (Tải lên)" và đơn vị đi kèm.
2. Đối chiếu với spec mục 2 "Giám sát lưu lượng mạng": Download (RX)/Upload (TX) phải là Tốc độ, đơn vị Kbps/Mbps/Gbps.</t>
  </si>
  <si>
    <t>RX/TX phải hiển thị dạng tốc độ tức thời (Kbps/Mbps/Gbps), không phải tổng dung lượng lũy kế (MB) - khác ngữ nghĩa dữ liệu so với spec.</t>
  </si>
  <si>
    <t>[Gap Analysis] RX/TX hiển thị đơn vị "MB" (dung lượng lũy kế), không phải tốc độ Kbps/Mbps/Gbps theo spec mục 2 "Giám sát lưu lượng mạng" - khác ngữ nghĩa dữ liệu (tổng cộng dồn thay vì tức thời).</t>
  </si>
  <si>
    <t>TC-WIFI-UI-57</t>
  </si>
  <si>
    <t>[Gap Analysis] Định dạng hiển thị Kênh phát (Channel) ở khối Radio khác với định dạng mô tả trong spec.</t>
  </si>
  <si>
    <t>Khối "Cấu hình Hạ tầng vô tuyến" hiển thị đầy đủ.</t>
  </si>
  <si>
    <t>1. Đọc giá trị "Kênh phát" của Radio 2.4GHz và 5GHz.
2. Đối chiếu định dạng với ví dụ trong spec (ví dụ: "1 (2.412 GHz)").</t>
  </si>
  <si>
    <t>Định dạng hiển thị Kênh phát nên khớp ví dụ spec dạng "&lt;số kênh&gt; (&lt;tần số&gt; GHz)", không phải dạng "&lt;số kênh&gt; / &lt;tần số&gt;MHz" hiện tại.</t>
  </si>
  <si>
    <t>[Gap Analysis] Định dạng Kênh phát thực tế: "1 / 2412MHz" - khác định dạng ví dụ trong spec "&lt;số kênh&gt; (&lt;tần số thập phân&gt; GHz)".</t>
  </si>
  <si>
    <t>TC-WIFI-UI-58</t>
  </si>
  <si>
    <t>[Gap Analysis] Không có chức năng "Bỏ chặn" (Unblock) trên giao diện quản lý client kết nối, khiến thiết bị bị chặn nhầm không thể tự khôi phục kết nối qua UI.</t>
  </si>
  <si>
    <t>Có 1 thiết bị (MAC) từng bị chặn (ví dụ do thao tác nhầm nút "Chặn"), hiện đang liên tục thất bại khi cố kết nối lại vào SSID.</t>
  </si>
  <si>
    <t>1. Quan sát khối "Giám sát người dùng kết nối" và toàn bộ trang WiFi để tìm màn hình quản lý danh sách MAC đã bị chặn.
2. Đọc bảng "Sự kiện" để xác nhận có bản ghi dạng "failed to connect ... blocked by MAC block/MAC Filter/Lock To AP" lặp lại nhiều lần.</t>
  </si>
  <si>
    <t>Hệ thống nên cung cấp một khu vực/màn hình liệt kê các MAC đang bị chặn kèm nút "Bỏ chặn" (Unblock), để admin tự khôi phục kết nối cho thiết bị bị chặn nhầm mà không cần can thiệp trực tiếp vào Omada Controller/backend.
Thực tế quan sát được trên hệ thống thật: có bản ghi sự kiện xác nhận 1 MAC (1A-B9-A0-FE-7E-2C) bị chặn và liên tục kết nối thất bại ("3 times in the last minute"), nhưng toàn bộ trang WiFi không có bất kỳ nút/màn hình "Bỏ chặn" nào để khôi phục - đây là gap về khả năng tự khắc phục sự cố (self-service recovery) của tính năng Chặn client.</t>
  </si>
  <si>
    <t>[Gap Analysis] Log sự kiện thật xác nhận MAC 7E-DE-C3-77-0F-5D đang bị chặn và liên tục thất bại khi kết nối lại ("[client:7E-DE-C3-77-0F-5D] failed to connect to [ap:CC-BA-BD-96-10-C0] with SSID "AP-Pole" on channel 1 because the user was blocked by MAC block/MAC Filter/Loc..."), nhưng toàn bộ trang WiFi không có bất kỳ nút/màn hình "Bỏ chặn" (Unblock) nào để admin tự khôi phục kết nối cho thiết bị này.</t>
  </si>
  <si>
    <t>TC-WIFI-UI-59</t>
  </si>
  <si>
    <t>[Gap Analysis] Trường "Công suất Switch POE" hiển thị "N/A" thay vì giá trị Watt như spec mô tả, dù cổng LAN đang ở trạng thái UP và có dữ liệu tốc độ/Duplex hợp lệ.</t>
  </si>
  <si>
    <t>Khối "Giám sát cổng vật lý (Ethernet-LAN)" hiển thị, Trạng thái cổng = UP.</t>
  </si>
  <si>
    <t>1. Đọc giá trị "Trạng thái cổng:", "Tốc độ &amp; Duplex:" và "Công suất Switch POE:" trong khối Giám sát cổng LAN.
2. Đối chiếu với spec mục "Giám sát cổng Ethernet" (kỳ vọng đơn vị W, ví dụ 22.4 W).</t>
  </si>
  <si>
    <t>Khi cổng LAN đang UP và có đủ dữ liệu tốc độ/Duplex, trường "Công suất Switch POE" cũng nên trả về giá trị số hợp lệ (đơn vị W) thay vì "N/A" - nếu thiết bị/PoE injector không hỗ trợ đo công suất thì nên có nhãn phân biệt rõ ("Không hỗ trợ") thay vì dùng chung "N/A" dễ gây hiểu nhầm là lỗi dữ liệu.</t>
  </si>
  <si>
    <t>[Gap Analysis] Cổng LAN đang ở trạng thái UP với dữ liệu Tốc độ &amp; Duplex hợp lệ, nhưng "Công suất Switch POE" hiển thị "N/A" thay vì giá trị Watt cụ thể như spec mô tả (ví dụ 22.4 W).</t>
  </si>
  <si>
    <t>Emergency</t>
  </si>
  <si>
    <t xml:space="preserve">Cập nhật theo phân tích mowus </t>
  </si>
  <si>
    <t>EMG-UI-001</t>
  </si>
  <si>
    <t xml:space="preserve">Giao diện &amp; điều hướng module Emergency </t>
  </si>
  <si>
    <t>EMG-001</t>
  </si>
  <si>
    <t>Mở module Emergency từ sidebar</t>
  </si>
  <si>
    <t xml:space="preserve">User đã đăng nhậphệ thống, có quyền xem Emergency </t>
  </si>
  <si>
    <t>1. Đăng nhập Smart Pole Control.
2. Click menu “Emergency ” trên sidebar</t>
  </si>
  <si>
    <t>Trang Emergency hiển thị đúng
Tiêu đề “Emergency System” đúng.
Menu Emergency được highlight.
Không lỗi JavaScript.</t>
  </si>
  <si>
    <t>EMG-002</t>
  </si>
  <si>
    <t>Hiển thị trạng thái hệ thống</t>
  </si>
  <si>
    <t>Hệ thống Online/ Offline</t>
  </si>
  <si>
    <t>1. Mở trang Emergency 
2. Quan sát banner màu xanh và badge trạng thái (System Online/Offline).</t>
  </si>
  <si>
    <t>Banner “ Emergency System” hiển thị đúng.
Badge trạng thái hiển thị đúng text &amp; màu (Online = xanh, Offline = xám/đỏ).</t>
  </si>
  <si>
    <t>EMG-SIREN-001</t>
  </si>
  <si>
    <t>Siren Status</t>
  </si>
  <si>
    <t>EMG-010</t>
  </si>
  <si>
    <t>Hiển thị trạng thái Siren hiện tại</t>
  </si>
  <si>
    <t>1. Mở trang Emergency.
2. Quan sát card Siren Status.</t>
  </si>
  <si>
    <t xml:space="preserve">Hiển thị đúng trạng thái (SILENT/ACTIVE).
Màu sắc đúng rule.
</t>
  </si>
  <si>
    <t>EMG-011</t>
  </si>
  <si>
    <t>Trạng thái thay đổi khi kích hoạt còi</t>
  </si>
  <si>
    <t>1. Kích hoạt Siren.
2. Quan sát UI.</t>
  </si>
  <si>
    <t xml:space="preserve">Trạng thái đổi SILENT =&gt; ACTIVE.
UI cập nhật real-time </t>
  </si>
  <si>
    <t>EMG-DAILY-001</t>
  </si>
  <si>
    <t>Daily Call Volume</t>
  </si>
  <si>
    <t>EMG-020</t>
  </si>
  <si>
    <t>Hiển thị tổng số cuộc gọi trong ngày</t>
  </si>
  <si>
    <t>Có dữ liệu cuộc gọi hôm nay</t>
  </si>
  <si>
    <t>1. Tạo cuộc gọi test
2. Reload trang
3. Kiểm tra Total Today</t>
  </si>
  <si>
    <t>Hiển thị đúng số record ngày hiện tại, không cộng dồn ngày cũ</t>
  </si>
  <si>
    <t>EMG-021</t>
  </si>
  <si>
    <t>Kiểm tra reset khi sang ngày mới</t>
  </si>
  <si>
    <t>Qua 00:00</t>
  </si>
  <si>
    <t>1. Giả lập qua ngày mới
2. Reload</t>
  </si>
  <si>
    <t>Total Today = 0 nếu chưa có cuộc gọi mới</t>
  </si>
  <si>
    <t>EMG-DUR-001</t>
  </si>
  <si>
    <t>Average Duration</t>
  </si>
  <si>
    <t>EMG-030</t>
  </si>
  <si>
    <t>Kiểm tra tính trung bình thời lượng cuộc gọi</t>
  </si>
  <si>
    <t>Có ít nhất 2 cuộc gọi</t>
  </si>
  <si>
    <t>1. Tạo 2 cuộc gọi (10s, 30s)
2. Reload
3. Kiểm tra Mean Call Time</t>
  </si>
  <si>
    <t>Hiển thị 00:20, format mm:ss, không làm tròn sai</t>
  </si>
  <si>
    <t>EMG-031</t>
  </si>
  <si>
    <t>Kiểm tra khi không có dữ liệu</t>
  </si>
  <si>
    <t>Không có dữ liệu cuộc gọi</t>
  </si>
  <si>
    <t>1. Vào trang Emergency
2. Quan sát Average Duration</t>
  </si>
  <si>
    <t>Hiển thị 0:00, format mm:ss</t>
  </si>
  <si>
    <t>EMG-AUDIO-001</t>
  </si>
  <si>
    <t>Audio &amp; Siren</t>
  </si>
  <si>
    <t>EMG-040</t>
  </si>
  <si>
    <t>Kiểm tra hiển thị giao diện Audio &amp; Siren</t>
  </si>
  <si>
    <t xml:space="preserve">1. Vào Audio &amp; Siren
2. Quan sát giao diện
</t>
  </si>
  <si>
    <t>Hiển thị đúng tiêu đề “Audio &amp; Siren”.
Hiển thị System Status (ví dụ: Standby).
Hiển thị 3 slider: Master, Microphone, SIP.
Mỗi slider có giá trị số hiển thị bên phải
Không lỗi giao diện, không vỡ layout</t>
  </si>
  <si>
    <t>EMG-041</t>
  </si>
  <si>
    <t>Kiểm tra tăng Volume</t>
  </si>
  <si>
    <t>Hệ thống đang Online cho phép chỉnh Volume</t>
  </si>
  <si>
    <t>1. Vào Audio &amp; Siren
2.Kéo slider Master từ 50 lên 80.
   Kéo slider Microphone từ 50 lên 70
   Kéo slider SIP từ 50 lên  60</t>
  </si>
  <si>
    <t>Giá trị slider thay đổi đúng theo thao tác kéo.
Số hiển thị bên phải cập nhật ngay lập tức.
Không có độ trễ bất thường hoặc giật lag.
Giá trị không vượt quá 100.</t>
  </si>
  <si>
    <t>EMG-042</t>
  </si>
  <si>
    <t>Kiểm tra giảm Volume</t>
  </si>
  <si>
    <t>Các slider đang có giá trị lớn hơn 0</t>
  </si>
  <si>
    <t>1. Vào Audio &amp; Siren
2.Kéo slider Master từ 80 lên 10
   Kéo slider Microphone từ 70 lên 50
   Kéo slider SIP từ 60 lên  5</t>
  </si>
  <si>
    <t>Giá trị giảm đúng theo thao tác.
Số hiển thị cập nhật chính xác.
Không tự động nhảy về giá trị khác.</t>
  </si>
  <si>
    <t>EMG-043</t>
  </si>
  <si>
    <t>Kiểm tra giá trị biên</t>
  </si>
  <si>
    <t>1. Vào Audio &amp; Siren
2. Kéo slider về mức thấp nhất.
    Kéo slider về mức cao nhất.
    Thử kéo vượt quá giới hạn.</t>
  </si>
  <si>
    <t>Giá trị nhỏ nhất là 0.
Giá trị lớn nhất là 100.
Không thể kéo nhỏ hơn 0 hoặc lớn hơn 100.
Không phát sinh lỗi hệ thống.</t>
  </si>
  <si>
    <t>EMG-AUDIOCTRL-001</t>
  </si>
  <si>
    <t>Audio Control Center</t>
  </si>
  <si>
    <t>EMG-050</t>
  </si>
  <si>
    <t>Kiểm tra phát Audio mặc định</t>
  </si>
  <si>
    <t>1. Vào Audio Control Center
2. Chọn Standard Tones
2. Click bất kì 1 tones</t>
  </si>
  <si>
    <t xml:space="preserve">Khi click vào một Audio bất kỳ, âm thanh tương ứng được phát ngay lập tức
Chỉ phát một tone tại một thời điểm (không phát chồng).
</t>
  </si>
  <si>
    <t>EMG-051</t>
  </si>
  <si>
    <t xml:space="preserve">Kiểm tra upload Audio hợp lệ </t>
  </si>
  <si>
    <t>Tệp tải lên dạng .wav</t>
  </si>
  <si>
    <t>1. Vào Audio Control Center
2. Chọn Custom Audio
3. Click Upload
4. Chọn file
5. Save</t>
  </si>
  <si>
    <t xml:space="preserve">
Sau khi nhấn Save, Audio được tải lên và lưu vào hệ thống
Hệ thống hiển thị thông báo tải lên thành công</t>
  </si>
  <si>
    <t>EMG-052</t>
  </si>
  <si>
    <t xml:space="preserve">Kiểm tra upload Audio không hợp lệ </t>
  </si>
  <si>
    <t>Sai định dạng hoặc vượt quá dung lượng</t>
  </si>
  <si>
    <t>Hệ thống không cho phép tải lên Audio không hợp lệ.
Audio không được lưu vào hệ thống.</t>
  </si>
  <si>
    <t>Hiện tại hệ thống gửi thông báo upload fail khá lâu</t>
  </si>
  <si>
    <t>EMG-053</t>
  </si>
  <si>
    <t xml:space="preserve">Kiểm tra phát Audio được tải lên </t>
  </si>
  <si>
    <t>Đã tồn tại ít nhất 1 file audio hợp lệ trong mục Custom Audio</t>
  </si>
  <si>
    <t xml:space="preserve">1. Vào Audio Control Center
2. Chọn Custom Audio
3. Click icon phát
</t>
  </si>
  <si>
    <t>Khi click icon phát, audio tương ứng được phát ngay lập tức
Âm thanh phát đúng file đã chọn và đúng mức volume hiện tại
Chỉ phát một audio không phát chồng</t>
  </si>
  <si>
    <t>EMG-054</t>
  </si>
  <si>
    <t xml:space="preserve">Kiểm tra xóa Audio được tải lên </t>
  </si>
  <si>
    <t xml:space="preserve">1. Vào Audio Control Center
2. Chọn Custom Audio
3. Click icon xóa
</t>
  </si>
  <si>
    <t>Khi click icon xóa và xác nhận file audio được xóa thành công khỏi hệ thống.
File không còn hiển thị trong danh sách Custom Audio.
Hệ thống hiển thị thông báo xóa thành công.</t>
  </si>
  <si>
    <t>EMG-CONTACT-001</t>
  </si>
  <si>
    <t>Emergency Contacts</t>
  </si>
  <si>
    <t>EMG-060</t>
  </si>
  <si>
    <t>Kiểm tra hiển thị giao diện Emergency Contacts</t>
  </si>
  <si>
    <t>1. Truy cập màn hình Emergency Contacts.</t>
  </si>
  <si>
    <t>Hiển thị đúng tiêu đề “Emergency Contacts”.
Hiển thị mô tả: “Quick access to emergency services”.
Hiển thị thông tin “All calls are logged and recorded”.
Hiển thị nút gọi IOC.
Hiển thị trạng thái hệ thống</t>
  </si>
  <si>
    <t>EMG-061</t>
  </si>
  <si>
    <t>Kiểm tra thực hiện cuộc gọi khẩn cấp (IOC)</t>
  </si>
  <si>
    <t>Hệ thống Online. User có quyền thực hiện cuộc gọi.</t>
  </si>
  <si>
    <t>1. Vào Emergency Contacts.
2. Click nút IOC.</t>
  </si>
  <si>
    <t>Hệ thống thực hiện cuộc gọi đến IOC.
Hiển thị trạng thái đang gọi (nếu có thiết kế).
Cuộc gọi được ghi log vào hệ thống.
Không phát sinh lỗi hệ thống.</t>
  </si>
  <si>
    <t>EMG-062</t>
  </si>
  <si>
    <t>Kiểm tra hiển thị thông báo khi thực hiện cuộc gọi IOC</t>
  </si>
  <si>
    <t>Hệ thống bắt đầu thực hiện cuộc gọi đến IOC.
Hiển thị thông báo ở góc màn hình:
“Emergency Call Initiated – Connecting to IOC…”</t>
  </si>
  <si>
    <t>EMG-063</t>
  </si>
  <si>
    <t>Kiểm tra hiển thị  khi cuộc gọi kết nối thành công</t>
  </si>
  <si>
    <t>Hệ thống Online.
User có quyền thực hiện cuộc gọi.
IOC phản hồi và cuộc gọi được thiết lập thành công.</t>
  </si>
  <si>
    <t>1. Vào Emergency Contacts.
2. Click nút IOC.
3. Chờ hệ thống kết nối hoàn tất.</t>
  </si>
  <si>
    <t>Hệ thống thiết lập cuộc gọi.
Hiển thị thông báo kết nối  thành công
Thông báo hiển thị đúng thời điểm khi call được kết nối.
Không phát sinh lỗi UI hoặc hệ thống.</t>
  </si>
  <si>
    <t>EMG-064</t>
  </si>
  <si>
    <t>Kiểm tra trường hợp User nói phía IOC nhận được âm thanh.</t>
  </si>
  <si>
    <t>User có quyền thực hiện cuộc gọi.
Cuộc gọi IOC đã kết nối thành công.</t>
  </si>
  <si>
    <t>1. Vào Emergency Contacts.
2. Click nút IOC để thực hiện cuộc gọi.
3. Chờ cuộc gọi kết nối thành công.
4. User nói vào microphone.
5. Kiểm tra phía IOC có nhận được âm thanh hay không.</t>
  </si>
  <si>
    <t>Nếu microphone hoạt động bình thường → IOC nghe được âm thanh.
Nếu microphone của User bị tắt hoặc lỗi → IOC không nghe được.
Không xảy ra crash hoặc lỗi hệ thống.</t>
  </si>
  <si>
    <t>Bên User nói mà bên IOC không nghe được âm thanh</t>
  </si>
  <si>
    <t>EMG-065</t>
  </si>
  <si>
    <t>Kiểm tra trường hợp IOC nói User nghe được</t>
  </si>
  <si>
    <t>1. Vào Emergency Contacts.
2. Click nút IOC để thực hiện cuộc gọi.
3. Sau khi kết nối thành công, yêu cầu phía IOC nói.
4. User kiểm tra âm thanh phát ra từ hệ thống.</t>
  </si>
  <si>
    <t>User nghe được âm thanh từ IOC rõ ràng.
Không xảy ra lỗi hệ thống hoặc mất kết nối.</t>
  </si>
  <si>
    <t>EMG-066</t>
  </si>
  <si>
    <t>Kiểm tra hệ thống hiển thị video camera khi cuộc gọi IOC được thiết lập.</t>
  </si>
  <si>
    <t>User có quyền thực hiện cuộc gọi</t>
  </si>
  <si>
    <t>1. Vào Emergency Contacts.
2. Click IOC để thực hiện cuộc gọi.
3. Chờ hệ thống kết nối.
4. Quan sát khung hiển thị video camera.</t>
  </si>
  <si>
    <t xml:space="preserve">Camera được bật khi cuộc gọi bắt đầu.
Video hiển thị rõ ràng trên giao diện.
Không bị lag, đứng hình hoặc màn hình đen.
</t>
  </si>
  <si>
    <t>EMG-067</t>
  </si>
  <si>
    <t>Kiểm tra chất lượng hiển thị camera trong cuộc gọi IOC.</t>
  </si>
  <si>
    <t>Cuộc gọi IOC đã kết nối.</t>
  </si>
  <si>
    <t>1. Thực hiện cuộc gọi IOC.
2. Quan sát video camera hiển thị trong suốt cuộc gọi.
3. Di chuyển trước camera để kiểm tra độ mượt của video.</t>
  </si>
  <si>
    <t>Video hiển thị rõ ràng.
Không bị vỡ hình, giật lag hoặc delay lớn.
Video được cập nhật realtime.</t>
  </si>
  <si>
    <t>Kiểm tra hiển thị thông báo khi cuộc gọi thất bại</t>
  </si>
  <si>
    <t>Hệ thống mất kết nối / IOC không phản hồi / simulate lỗi.</t>
  </si>
  <si>
    <t>Hệ thống không thể thực hiện cuộc gọi.
Hiển thị thông báo kết nối thất bại
Không treo giao diện</t>
  </si>
  <si>
    <t>Kiểm tra ghi log cuộc gọi</t>
  </si>
  <si>
    <t>Đã thực hiện ít nhất 1 cuộc gọi.</t>
  </si>
  <si>
    <t>1. Thực hiện cuộc gọi IOC.
2. Kiểm tra phần Call History.</t>
  </si>
  <si>
    <t>Hiển thị đầy đủ thông tin cuộc gọi:
Ngày/ Thời gian gọi/ Tài khoản/ Số/ Thời lượng/ Loại/ Trạng thái
Trạng thái cuộc gọi
Dữ liệu log chính xác.</t>
  </si>
  <si>
    <t>Kiểm tra khi hệ thống Offline</t>
  </si>
  <si>
    <t>Khi hệ thống mất kết nối.</t>
  </si>
  <si>
    <t>1. Vào Emergency Contacts.
2. Click IOC.</t>
  </si>
  <si>
    <t>Không thực hiện được cuộc gọi.
Không ghi log cuộc gọi thất bại sai trạng thái.
Không crash UI.</t>
  </si>
  <si>
    <t>Kiểm tra nhiều lần click liên tục vào button IOC</t>
  </si>
  <si>
    <t>1. Vào Emergency Contacts.
2. Click IOC nhiều lần liên tục.</t>
  </si>
  <si>
    <t>Chỉ thực hiện một cuộc gọi tại một thời điểm.
Không tạo nhiều request trùng lặp.
Không gây treo hệ thống</t>
  </si>
  <si>
    <t>Negative + Performance</t>
  </si>
  <si>
    <t xml:space="preserve">Đề xuất nút IOC sẽ disable tạm thời nút Call trong lúc đang Connecting và chỉ enable lại khi Connected hoặc Fail </t>
  </si>
  <si>
    <t>EMG-CALLHIS-001</t>
  </si>
  <si>
    <t>Call History</t>
  </si>
  <si>
    <t>EMG-070</t>
  </si>
  <si>
    <t>Kiểm tra hiển thị giao diện Call History</t>
  </si>
  <si>
    <t>1. Truy cập màn hình Call History.</t>
  </si>
  <si>
    <t>Hiển thị đúng tiêu đề “Call History”.
Hiển thị mô tả 
Hiển thị đầy đủ các cột: Date, Time, Account, Number, Duration, Type, Status.
Hiển thị nút Refresh.
Không lỗi UI, không lệch layout.</t>
  </si>
  <si>
    <t>EMG-071</t>
  </si>
  <si>
    <t>1. Vào màn Call History.</t>
  </si>
  <si>
    <t>Negative + UI</t>
  </si>
  <si>
    <t>EMG-072</t>
  </si>
  <si>
    <t>Kiểm tra hiển thị dữ liệu khi có log</t>
  </si>
  <si>
    <t>1. Thực hiện cuộc gọi.
2. Vào Call History.</t>
  </si>
  <si>
    <t>Hiển thị đúng bản ghi vừa thực hiện.
Thông tin chính xác:
Ngày
Thời gian
Account
Số gọi
Thời lượng
Loại cuộc gọi (Incoming/Outgoing)
Trạng thái (Completed/Missed/Failed)
Dữ liệu không bị sai lệch.</t>
  </si>
  <si>
    <t>EMG-073</t>
  </si>
  <si>
    <t>Kiểm tra Call History được cập nhật sau khi kết thúc cuộc gọi</t>
  </si>
  <si>
    <t>Đang thực hiện cuộc gọi.</t>
  </si>
  <si>
    <t>1. Thực hiện cuộc gọi.
2. Bấm End Call
2. Quan sát Call History.</t>
  </si>
  <si>
    <t xml:space="preserve">Sau khi kết thúc cuộc gọi hệ thống tự động ghi nhận cuộc gọi vào Call History
Record mới xuất hiện ngay không phải refresh </t>
  </si>
  <si>
    <t>Khi tắt cuộc gọi phải chuyển sang trang sau hay load trang thì record mới hiển thị</t>
  </si>
  <si>
    <t>EMG-074</t>
  </si>
  <si>
    <t>Kiểm tra  phân trang</t>
  </si>
  <si>
    <t>Có ít nhất 6 cuộc gọi mới.</t>
  </si>
  <si>
    <t xml:space="preserve">1. Vào Call History.
2.  Nhấn dịch chuyển các nút phân trang 
</t>
  </si>
  <si>
    <t>Danh sách cuộc gọi được chia thành nhiều trang nếu vượt quá giới hạn hiển thị. 
Khi nhấn Next, hệ thống hiển thị đúng các cuộc gọi của trang tiếp theo.
Khi nhấn Previous, hệ thống quay lại đúng dữ liệu của trang trước.
Không bị trùng dữ liệu giữa các trang, mất dữ liệu.
Nút phân trang bị disable khi đang ở trang đầu hoặc trang cuối</t>
  </si>
  <si>
    <t>EMG-075</t>
  </si>
  <si>
    <t>Kiểm tra độ chính xác thời lượng</t>
  </si>
  <si>
    <t>Thực hiện cuộc gọi có thời lượng xác định (ví dụ 30 giây).</t>
  </si>
  <si>
    <t>1. Thực hiện cuộc gọi trong khoảng thời gian xác định.
2. Vào Call History</t>
  </si>
  <si>
    <t>Duration hiển thị đúng hoặc sai lệch trong phạm vi cho phép (±1s nếu hệ thống realtime).
Định dạng đúng (mm:ss hoặc hh:mm:ss theo thiết kế)</t>
  </si>
  <si>
    <t>EMG-076</t>
  </si>
  <si>
    <t>Kiểm tra phân loại Type (Inbound/ Outbound)</t>
  </si>
  <si>
    <t>Có cả cuộc gọi đến và cuộc gọi đi.</t>
  </si>
  <si>
    <t>1. Thực hiện 1 cuộc gọi đi.
2. Nhận 1 cuộc gọi đến.
3. Kiểm tra Call History.</t>
  </si>
  <si>
    <t>Loại cuộc gọi hiển thị đúng  (Inbound/ Outbound)
Không bị đảo loại.</t>
  </si>
  <si>
    <t>EMG-077</t>
  </si>
  <si>
    <t>Kiểm tra Status cuộc gọi</t>
  </si>
  <si>
    <t>Có cuộc gọi hoàn thành, cuộc gọi bị hủy, cuộc gọi bị nhỡ.</t>
  </si>
  <si>
    <t>1. Thực hiện các loại cuộc gọi khác nhau.
2. Vào Call History.</t>
  </si>
  <si>
    <t>Status hiển thị đúng theo trạng thái thực tế:
Answered
Missed
Không hiển thị sai trạng thái.</t>
  </si>
  <si>
    <t xml:space="preserve">Smart Lighting </t>
  </si>
  <si>
    <t>Version 0.0.1</t>
  </si>
  <si>
    <t>Khởi tạo testcase cho Smart lighting</t>
  </si>
  <si>
    <t>0.0.1</t>
  </si>
  <si>
    <t>26/06/2026</t>
  </si>
  <si>
    <t xml:space="preserve">Cập nhật testcase theo phân tích mới </t>
  </si>
  <si>
    <t>SC-LIGHT-UI-001</t>
  </si>
  <si>
    <t>TC-LIGHT-UI-01</t>
  </si>
  <si>
    <t>Kiểm tra tiêu đề màn hình "Điều khiển Chiếu sáng".</t>
  </si>
  <si>
    <t>Người dùng điều hướng tới /lighting.</t>
  </si>
  <si>
    <t>1. Click menu "Chiếu sáng thông minh" ở sidebar.
2. Quan sát tiêu đề trang.</t>
  </si>
  <si>
    <t>Hiển thị tiêu đề "Điều khiển Chiếu sáng".</t>
  </si>
  <si>
    <t>Tiêu đề "Điều khiển Chiếu sáng" hiển thị đúng.</t>
  </si>
  <si>
    <t>TC-LIGHT-UI-02</t>
  </si>
  <si>
    <t>Kiểm tra badge trạng thái hoạt động chung của hệ thống.</t>
  </si>
  <si>
    <t>Trang Lighting đã tải xong.</t>
  </si>
  <si>
    <t>1. Quan sát dòng dưới tiêu đề.</t>
  </si>
  <si>
    <t>Hiển thị "Hệ thống đang hoạt động" hoặc trạng thái tương ứng thực tế của thiết bị.</t>
  </si>
  <si>
    <t>Badge trạng thái hệ thống "Hệ thống đang hoạt động" hiển thị đúng.</t>
  </si>
  <si>
    <t>TC-LIGHT-UI-03</t>
  </si>
  <si>
    <t>Khối "Trạng thái hiện tại" hiển thị đủ Nguồn (Bật/Tắt).</t>
  </si>
  <si>
    <t>1. Quan sát trường "Nguồn".</t>
  </si>
  <si>
    <t>Hiển thị nhãn "Nguồn" kèm giá trị "Bật" hoặc "Tắt" khớp trạng thái thật của đèn (spec 8.7.1 mục 1).</t>
  </si>
  <si>
    <t>Trường "Nguồn" hiển thị đúng giá trị: TẮT.</t>
  </si>
  <si>
    <t>TC-LIGHT-UI-04</t>
  </si>
  <si>
    <t>Khối "Trạng thái hiện tại" hiển thị đủ Mức sáng (0-100%).</t>
  </si>
  <si>
    <t>1. Quan sát trường "Mức sáng".</t>
  </si>
  <si>
    <t>Hiển thị nhãn "Mức sáng" kèm giá trị % hợp lệ trong khoảng 0-100%.</t>
  </si>
  <si>
    <t>Trường "Mức sáng" hiển thị đúng: 0%, trong khoảng 0-100.</t>
  </si>
  <si>
    <t>TC-LIGHT-UI-05</t>
  </si>
  <si>
    <t>Khối "Trạng thái hiện tại" hiển thị đủ Chế độ (Auto/Manual) và Nguồn điều khiển.</t>
  </si>
  <si>
    <t>1. Quan sát trường "Chế độ" và "Nguồn điều khiển".</t>
  </si>
  <si>
    <t>Hiển thị "Chế độ": Tự động hoặc Thủ công; "Nguồn điều khiển": Theo lịch/Thủ công/khác, khớp field operating_mode/control_source theo API.</t>
  </si>
  <si>
    <t>Trường "Chế độ" (Tự động) và "Nguồn điều khiển" (Theo lịch) hiển thị đầy đủ.</t>
  </si>
  <si>
    <t>SC-LIGHT-UI-002</t>
  </si>
  <si>
    <t>Điều khiển chế độ Auto/Manual</t>
  </si>
  <si>
    <t>TC-LIGHT-UI-08</t>
  </si>
  <si>
    <t>Khối "Điều khiển" hiển thị đủ 2 nút chuyển chế độ "Tự động" và "Thủ công".</t>
  </si>
  <si>
    <t>1. Quan sát khối "Điều khiển".</t>
  </si>
  <si>
    <t>Hiển thị 2 nút "Tự động" và "Thủ công"; nút khớp với chế độ hiện tại được highlight/active.</t>
  </si>
  <si>
    <t>Đủ 2 nút "Tự động" và "Thủ công" trong khối Điều khiển.</t>
  </si>
  <si>
    <t>TC-LIGHT-UI-09</t>
  </si>
  <si>
    <t>Nút chế độ đang active khớp đúng với giá trị "Chế độ" đã đọc ở TC-LIGHT-UI-05.</t>
  </si>
  <si>
    <t>1. Đối chiếu nút "Tự động"/"Thủ công" đang có trạng thái active (data-state="active") với giá trị field "Chế độ" hiển thị ở khối Trạng thái hiện tại.</t>
  </si>
  <si>
    <t>Nút active phải khớp với giá trị Chế độ thật (Tự động ⇔ auto, Thủ công ⇔ manual), không mâu thuẫn.</t>
  </si>
  <si>
    <t>Ghi nhận trạng thái nút: Tự động(data-state=active), Thủ công(data-state=inactive); giá trị field Chế độ đọc được: Tự động.</t>
  </si>
  <si>
    <t>TC-LIGHT-UI-10</t>
  </si>
  <si>
    <t>Click chuyển đổi chế độ Auto/Manual thay đổi trạng thái vận hành thật của đèn.</t>
  </si>
  <si>
    <t>Đang ở 1 trong 2 chế độ.</t>
  </si>
  <si>
    <t>1. Click nút chế độ còn lại (không đang active).
2. Quan sát trạng thái đổi và khôi phục lại chế độ ban đầu ngay sau đó.</t>
  </si>
  <si>
    <t>Chế độ vận hành đổi theo đúng nút vừa bấm, phản ánh ngay trên UI.</t>
  </si>
  <si>
    <t>THAO TÁC THẬT trên thiết bị production: đổi chế độ từ "Tự động" sang "Thủ công" (xác nhận UI phản ánh: ĐÚNG), sau đó khôi phục lại "Tự động" (khôi phục THÀNH CÔNG, đã xác nhận lại qua nhiều lần đọc).</t>
  </si>
  <si>
    <t>SC-LIGHT-UI-003</t>
  </si>
  <si>
    <t>Timeline lịch chiếu sáng - điều hướng ngày</t>
  </si>
  <si>
    <t>TC-LIGHT-UI-11</t>
  </si>
  <si>
    <t>Khối "Timeline lịch chiếu sáng" hiển thị đúng ngày hiện tại theo định dạng "Thứ X, dd/mm/yyyy".</t>
  </si>
  <si>
    <t>1. Quan sát dòng ngày trong khối Timeline.</t>
  </si>
  <si>
    <t>Hiển thị đúng thứ và ngày hiện tại thực (dd/mm/yyyy).</t>
  </si>
  <si>
    <t>Timeline hiển thị đúng định dạng ngày: "Thứ Ba, 04/08/2026".</t>
  </si>
  <si>
    <t>TC-LIGHT-UI-12</t>
  </si>
  <si>
    <t>Nút "Ngày trước"/"Ngày tiếp theo" (aria-label) cho phép điều hướng qua lại ngày khác.</t>
  </si>
  <si>
    <t>Khối Timeline đang hiển thị.</t>
  </si>
  <si>
    <t>1. Click nút có aria-label "Ngày tiếp theo".
2. Quan sát ngày hiển thị đổi sang ngày kế tiếp.
3. Click nút "Hôm nay" để quay lại ngày hiện tại.</t>
  </si>
  <si>
    <t>Ngày hiển thị đổi đúng theo hướng bấm; nút "Hôm nay" đưa về đúng ngày thực tại.</t>
  </si>
  <si>
    <t>Ngày trước điều hướng: "Thứ Ba, 04/08/2026" -&gt; (Ngày tiếp theo) -&gt; "Thứ Tư, 05/08/2026" -&gt; (Hôm nay) -&gt; "Thứ Ba, 04/08/2026".</t>
  </si>
  <si>
    <t>TC-LIGHT-UI-13</t>
  </si>
  <si>
    <t>Nhóm lịch trong Timeline hiển thị đúng tổng số lượng lịch trong ngoặc "(n)".</t>
  </si>
  <si>
    <t>1. Đếm tổng số card lịch hiển thị trong các nhóm (LỊCH ƯU TIÊN / LỊCH THEO THỜI GIAN / LỊCH MẶC ĐỊNH).
2. Đối chiếu với con số trong ngoặc "(n)" cạnh nút "Hôm nay".</t>
  </si>
  <si>
    <t>Số lượng card thực tế khớp với con số hiển thị trong ngoặc.</t>
  </si>
  <si>
    <t>Nhãn hiển thị (1); đếm được 1 card lịch trong khối Timeline (tổng cả 3 nhóm LỊCH ƯU TIÊN/LỊCH THEO THỜI GIAN/LỊCH MẶC ĐỊNH).</t>
  </si>
  <si>
    <t>SC-LIGHT-UI-004</t>
  </si>
  <si>
    <t>Danh sách card lịch chiếu sáng</t>
  </si>
  <si>
    <t>TC-LIGHT-UI-14</t>
  </si>
  <si>
    <t>Mỗi card lịch hiển thị đủ khung giờ, tên, loại lịch, trạng thái, dải độ sáng.</t>
  </si>
  <si>
    <t>Có ít nhất 1 card lịch trên trang.</t>
  </si>
  <si>
    <t>1. Đọc nội dung 1 card lịch bất kỳ.</t>
  </si>
  <si>
    <t>Card hiển thị: khung giờ (HH:mm-HH:mm), tên lịch, loại lịch (Mặc định/Theo lịch/Ưu tiên), trạng thái runtime (Đang chạy/Bị ưu tiên đè/Sắp tới/khác), và mức sáng theo từng khung giờ.</t>
  </si>
  <si>
    <t>TC-LIGHT-UI-15</t>
  </si>
  <si>
    <t>Card của lịch đang thật sự chạy (playing) hiển thị nhãn trạng thái "Đang chạy" khác biệt với các lịch khác.</t>
  </si>
  <si>
    <t>Có ít nhất 1 lịch đang ở trạng thái playing/active trên thiết bị thật.</t>
  </si>
  <si>
    <t>1. Tìm card có nhãn trạng thái "Đang chạy".
2. So sánh với nhãn trạng thái của các card khác (VD "Bị ưu tiên đè", "Sắp tới").</t>
  </si>
  <si>
    <t>Card đang chạy hiển thị đúng nhãn "Đang chạy" riêng biệt, phân biệt rõ với các trạng thái runtime khác.</t>
  </si>
  <si>
    <t>TC-LIGHT-UI-16</t>
  </si>
  <si>
    <t>[Cập nhật hành vi] Card của lịch đang "Đang chạy" KHÔNG còn khóa ở mức click (button không disabled); click vẫn mở dialog nhưng ở chế độ chỉ xem "Chi tiết lịch chiếu sáng".</t>
  </si>
  <si>
    <t>Có ít nhất 1 card ở trạng thái "Đang chạy".</t>
  </si>
  <si>
    <t>1. Click vào card "Đang chạy".
2. Quan sát tiêu đề dialog mở ra, banner cảnh báo, và trạng thái disabled của input/nút Cập nhật/Xóa.</t>
  </si>
  <si>
    <t>Dialog mở ra với tiêu đề "Chi tiết lịch chiếu sáng" (không phải "Chỉnh sửa lịch chiếu sáng"), kèm banner "Không thể chỉnh sửa lịch đang chạy - Lịch đang chạy bị khóa chỉnh sửa và xóa.",  "không cho phép chỉnh sửa/xóa lịch đang phát" vẫn được đảm bảo, chỉ khác cơ chế thực hiện (khóa nội dung dialog thay vì khóa hẳn card).</t>
  </si>
  <si>
    <t>Dialog mở ra với tiêu đề "Chi tiết lịch chiếu sáng" (không phải "Chỉnh sửa lịch chiếu sáng"), kèm banner "Không thể chỉnh sửa lịch đang chạy - Lịch đang chạy bị khóa chỉnh sửa và xóa.", toàn bộ input và 2 nút Cập nhật/Xóa đều disabled - business rule "không cho phép chỉnh sửa/xóa lịch đang phát" vẫn được đảm bảo, chỉ khác cơ chế thực hiện (khóa nội dung dialog thay vì khóa hẳn card).</t>
  </si>
  <si>
    <t>TC-LIGHT-UI-17</t>
  </si>
  <si>
    <t>Click vào 1 card lịch KHÔNG đang chạy mở đúng dialog "Chỉnh sửa lịch chiếu sáng" với dữ liệu tương ứng.</t>
  </si>
  <si>
    <t>Có ít nhất 1 card không ở trạng thái "Đang chạy" (disabled=false).</t>
  </si>
  <si>
    <t>1. Click vào 1 card lịch không đang chạy.</t>
  </si>
  <si>
    <t>Mở đúng dialog "Chỉnh sửa lịch chiếu sáng", trường "Tên lịch trình" khớp đúng tên của card vừa click.</t>
  </si>
  <si>
    <t>SC-LIGHT-UI-005</t>
  </si>
  <si>
    <t>Dialog Thêm lịch - trường cơ bản</t>
  </si>
  <si>
    <t>TC-LIGHT-UI-19</t>
  </si>
  <si>
    <t>Nút "Thêm lịch" mở dialog "Thêm lịch chiếu sáng".</t>
  </si>
  <si>
    <t>Trang Lighting đã tải xong, khối "Lịch chiếu sáng" hiển thị.</t>
  </si>
  <si>
    <t>1. Click nút "Thêm lịch".</t>
  </si>
  <si>
    <t>Mở dialog tiêu đề "Thêm lịch chiếu sáng" kèm mô tả "Cấu hình loại lịch, phạm vi ngày và mức sáng cho từng khung giờ."</t>
  </si>
  <si>
    <t>Dialog "Thêm lịch chiếu sáng" mở đúng với mô tả chính xác.</t>
  </si>
  <si>
    <t>TC-LIGHT-UI-20</t>
  </si>
  <si>
    <t>Trường "Tên lịch trình*" bắt buộc, để trống theo mặc định (không có tên gợi ý sẵn).</t>
  </si>
  <si>
    <t>Dialog Thêm lịch đang mở.</t>
  </si>
  <si>
    <t>1. Đọc giá trị input "Tên lịch trình*".</t>
  </si>
  <si>
    <t>Trường có dấu * (bắt buộc); ghi nhận giá trị mặc định hiện có (rỗng hoặc gợi ý sẵn).</t>
  </si>
  <si>
    <t>Trường Tên lịch trình* ghi nhận giá trị mặc định: "(rỗng)".</t>
  </si>
  <si>
    <t>TC-LIGHT-UI-21</t>
  </si>
  <si>
    <t>[Xác nhận nâng cấp] Dropdown "Mức độ ưu tiên*" đã được mở khóa, đủ 3 lựa chọn Mặc định/Theo lịch/Ưu tiên - UI đã nối API canonical.</t>
  </si>
  <si>
    <t>1. Click mở dropdown "Mức độ ưu tiên*".
2. Liệt kê các tùy chọn.</t>
  </si>
  <si>
    <t>Đủ 3 tùy chọn: Mặc định, Theo lịch, Ưu tiên - khớp đúng scheduleType của API canonical (default/scheduled/priority) đã kiểm thử ở test-cases/canonical-lighting-test-cases.xlsx.</t>
  </si>
  <si>
    <t>Đã mở dropdown thật, xác nhận đủ 3 tùy chọn: Mặc định | Theo lịch | Ưu tiên - khớp scheduleType API canonical.</t>
  </si>
  <si>
    <t>TC-LIGHT-UI-22</t>
  </si>
  <si>
    <t>Khối "Ngày áp dụng*" hiển thị đủ 7 nút chọn thứ trong tuần (CN-T7).</t>
  </si>
  <si>
    <t>1. Đếm số nút trong khối "Ngày áp dụng*".</t>
  </si>
  <si>
    <t>Hiển thị đủ 7 nút: CN, T2, T3, T4, T5, T6, T7.</t>
  </si>
  <si>
    <t>Đủ 7 nút chọn ngày CN-T7.</t>
  </si>
  <si>
    <t>TC-LIGHT-UI-23</t>
  </si>
  <si>
    <t>Click chọn/bỏ chọn 1 nút ngày trong tuần đổi trạng thái trực quan (không lưu thật).</t>
  </si>
  <si>
    <t>1. Click 1 nút ngày (VD "T3") đang chưa chọn.
2. Quan sát trạng thái nút đổi màu/nổi bật (đổi class).
3. Click lại để bỏ chọn.</t>
  </si>
  <si>
    <t>Nút chuyển trạng thái chọn/bỏ chọn đúng theo mỗi lần click.</t>
  </si>
  <si>
    <t>Xác nhận nút "T3" đổi class (kiểu hiển thị chọn/bỏ chọn) đúng qua mỗi lần click.</t>
  </si>
  <si>
    <t>TC-LIGHT-UI-24</t>
  </si>
  <si>
    <t>[Xác nhận nâng cấp] 2 trường "Ngày bắt đầu (tùy chọn)"/"Ngày kết thúc (tùy chọn)" dạng date picker thật - khớp field startDate/endDate của API canonical.</t>
  </si>
  <si>
    <t>1. Tìm 2 input type="date" trong dialog.</t>
  </si>
  <si>
    <t>Có đủ 2 input[type=date] cho phạm vi ngày áp dụng, đúng tên nhãn "Ngày bắt đầu (tùy chọn)"/"Ngày kết thúc (tùy chọn)", khớp startDate/endDate optional theo API canonical.</t>
  </si>
  <si>
    <t>Xác nhận đủ 2 input[type=date] cho "Ngày bắt đầu (tùy chọn)"/"Ngày kết thúc (tùy chọn)".</t>
  </si>
  <si>
    <t>SC-LIGHT-UI-006</t>
  </si>
  <si>
    <t>Dialog Thêm lịch - Khung giờ (timeSlots)</t>
  </si>
  <si>
    <t>TC-LIGHT-UI-25</t>
  </si>
  <si>
    <t>[Xác nhận nâng cấp] Mỗi khung giờ có ĐỦ "Thời gian bắt đầu*" VÀ "Thời gian kết thúc*" riêng biệt (không còn là các điểm dimming rời rạc như bản UI trước) - khớp cấu trúc timeSlots của API canonical.</t>
  </si>
  <si>
    <t>Dialog Thêm lịch đang mở, mặc định có 1 khung giờ.</t>
  </si>
  <si>
    <t>1. Quan sát khối "Khung giờ*".</t>
  </si>
  <si>
    <t>Mỗi khung giờ có: input[type=time] "Thời gian bắt đầu*", input[type=time] "Thời gian kết thúc*", và "Mức sáng*: X%" - khớp đúng {startTime, endTime, brightness} của 1 phần tử timeSlots API canonical.</t>
  </si>
  <si>
    <t>Xác nhận khung giờ có đủ input[type=time] bắt đầu+kết thúc (tìm thấy 2 input time) và nhãn Mức sáng*.</t>
  </si>
  <si>
    <t>TC-LIGHT-UI-26</t>
  </si>
  <si>
    <t>Nút "Thêm khung giờ" thêm 1 khung giờ mới (đủ start+end+brightness) vào danh sách.</t>
  </si>
  <si>
    <t>1. Ghi lại số khung giờ hiện có (đếm số input[type=time] / 2).
2. Click nút "Thêm khung giờ".
3. Đếm lại sau khi bấm.</t>
  </si>
  <si>
    <t>Số lượng khung giờ tăng thêm 1 sau khi bấm "Thêm khung giờ".</t>
  </si>
  <si>
    <t>Số input[type=time] trước: 2, sau khi bấm "Thêm khung giờ": 4.</t>
  </si>
  <si>
    <t>TC-LIGHT-UI-27</t>
  </si>
  <si>
    <t>Có icon xóa để loại bỏ 1 khung giờ khỏi danh sách khi có từ 2 khung giờ trở lên.</t>
  </si>
  <si>
    <t>Dialog Thêm lịch đang mở, đã "Thêm khung giờ" để có &gt;=2 khung giờ.</t>
  </si>
  <si>
    <t>1. Tìm icon xóa (thường dạng thùng rác) cạnh 1 khung giờ.
2. Click xóa và quan sát khung giờ biến mất.</t>
  </si>
  <si>
    <t>Mỗi khung giờ (khi có từ 2 trở lên) có icon xóa riêng, click xóa loại bỏ ngay khỏi danh sách.</t>
  </si>
  <si>
    <t>Xóa 1 khung giờ thành công (4 -&gt; 2 input time).</t>
  </si>
  <si>
    <t>SC-LIGHT-UI-007</t>
  </si>
  <si>
    <t>Dialog Thêm lịch - Validation &amp; hành vi lưu</t>
  </si>
  <si>
    <t>TC-LIGHT-UI-28</t>
  </si>
  <si>
    <t>Nút "Hủy" đóng dialog mà không lưu dữ liệu vừa nhập.</t>
  </si>
  <si>
    <t>Đã đổi tên lịch trong dialog Thêm lịch.</t>
  </si>
  <si>
    <t>1. Điền "Tên lịch trình*" thành giá trị bất kỳ.
2. Click nút "Hủy".</t>
  </si>
  <si>
    <t>Dialog đóng lại, không có lịch mới nào được tạo, danh sách lịch không đổi.</t>
  </si>
  <si>
    <t>Bấm Hủy sau khi nhập tên mới - không có lịch nào được tạo trong danh sách.</t>
  </si>
  <si>
    <t>TC-LIGHT-UI-29</t>
  </si>
  <si>
    <t>Validation: để trống "Tên lịch trình*" và bấm "Thêm lịch" phải bị chặn hoặc báo lỗi.</t>
  </si>
  <si>
    <t>Dialog Thêm lịch đang mở, Tên lịch trình để trống.</t>
  </si>
  <si>
    <t>1. Đảm bảo ô "Tên lịch trình*" trống.
2. Bấm nút "Thêm lịch" (submit).</t>
  </si>
  <si>
    <t>Hệ thống chặn lưu và hiển thị lỗi validation khi tên trống (trường có dấu * bắt buộc).</t>
  </si>
  <si>
    <t>THAO TÁC THẬT: submit với Tên lịch trình để trống - bị chặn ĐÚNG ở phía client (không gửi request lên server), hiển thị lỗi "Vui lòng nhập tên lịch trình.".</t>
  </si>
  <si>
    <t>TC-LIGHT-UI-30</t>
  </si>
  <si>
    <t>Tạo lịch mới hợp lệ (loại Theo lịch) và lưu thành công.</t>
  </si>
  <si>
    <t>Dialog Thêm lịch đang mở, đã điền tên/ngày/khung giờ hợp lệ.</t>
  </si>
  <si>
    <t>1. Điền tên lịch, chọn 1 ngày, giữ nguyên khung giờ mặc định.
2. Bấm "Thêm lịch".</t>
  </si>
  <si>
    <t>Lịch được tạo thành công, xuất hiện trong danh sách, dialog đóng lại.</t>
  </si>
  <si>
    <t>Tạo lịch throwaway "QA-UI-Probe-1-1785806043175" (T7 13:00-13:30, loại Theo lịch) thành công (dialog đóng ngay sau submit, không có lỗi).</t>
  </si>
  <si>
    <t>TC-LIGHT-UI-31</t>
  </si>
  <si>
    <t>Tạo lịch loại "Ưu tiên" ghi đè lịch "Theo lịch" cùng khung giờ (business rule Priority &gt; Scheduled).</t>
  </si>
  <si>
    <t>Đã có 1 lịch "Theo lịch" thật đang chạy trong khung giờ hiện tại.</t>
  </si>
  <si>
    <t>1. Mở dialog Thêm lịch, chọn Mức độ ưu tiên = "Ưu tiên".
2. Thiết lập khung giờ bao trùm thời điểm hiện tại (trùng với lịch mức thấp hơn đang chạy nếu có).
3. Bấm "Thêm lịch" và quan sát lịch mức thấp hơn có chuyển trạng thái không.
4. Xóa lịch throwaway vừa tạo để khôi phục lại trạng thái ban đầu.</t>
  </si>
  <si>
    <t>Theo business rule (Priority &gt; Scheduled &gt; Default), khi lưu và có hiệu lực, lịch Ưu tiên phải ghi đè lịch mức thấp hơn cùng thời điểm - trạng thái lịch bị ghi đè chuyển thành "Bị ưu tiên đè".</t>
  </si>
  <si>
    <t>SC-LIGHT-UI-008</t>
  </si>
  <si>
    <t>Xóa lịch chiếu sáng</t>
  </si>
  <si>
    <t>TC-LIGHT-UI-32</t>
  </si>
  <si>
    <t>Click nút "Xóa" trong dialog Chỉnh sửa mở popup xác nhận trước khi xóa thật.</t>
  </si>
  <si>
    <t>Dialog Chỉnh sửa đang mở cho 1 lịch không phải đang chạy.</t>
  </si>
  <si>
    <t>1. Click nút "Xóa".
2. Quan sát popup xác nhận xuất hiện (KHÔNG bấm xác nhận xóa thật - chỉ quan sát rồi Hủy).</t>
  </si>
  <si>
    <t>Mở popup xác nhận "Xóa lịch chiếu sáng?" kèm tên lịch cụ thể trong ngoặc kép.</t>
  </si>
  <si>
    <t>TC-LIGHT-UI-33</t>
  </si>
  <si>
    <t>Popup xác nhận xóa: bấm Hủy không xóa lịch thật.</t>
  </si>
  <si>
    <t>Popup xác nhận xóa đang mở (từ TC-LIGHT-UI-32).</t>
  </si>
  <si>
    <t>Popup đóng lại, lịch vẫn còn nguyên trong danh sách, không có request xóa nào được gửi.</t>
  </si>
  <si>
    <t>TC-LIGHT-UI-34</t>
  </si>
  <si>
    <t>[Cập nhật hành vi] Business rule: không cho xóa lịch đang "Đang chạy" - nay thực hiện bằng cách mở dialog chỉ-xem với nút Xóa disabled, thay vì khóa hẳn card như trước.</t>
  </si>
  <si>
    <t>Có 1 lịch đang thật sự chạy trên thiết bị.</t>
  </si>
  <si>
    <t>1. Click card "Đang chạy", xác nhận dialog "Chi tiết lịch chiếu sáng" mở ra với nút Xóa disabled.</t>
  </si>
  <si>
    <t>SC-LIGHT-UI-009</t>
  </si>
  <si>
    <t>Khối tóm tắt Lịch chiếu sáng (Đang chạy/Sắp tới/ Đã kết thúc)</t>
  </si>
  <si>
    <t>TC-LIGHT-UI-35</t>
  </si>
  <si>
    <t>Khối "Lịch chiếu sáng" hiển thị mô tả và đủ 3 mục tóm tắt.</t>
  </si>
  <si>
    <t>Trang Lighting đã tải xong, cuộn tới khối "Lịch chiếu sáng".</t>
  </si>
  <si>
    <t>1. Quan sát khối "Lịch chiếu sáng".</t>
  </si>
  <si>
    <t>Hiển thị mô tả "Lịch hiện tại, lịch tiếp theo và lịch được thực thi gần nhất." và đủ 3 mục: LỊCH ĐANG CHẠY, LỊCH SẮP TỚI, LỊCH KẾT THÚC.</t>
  </si>
  <si>
    <t>TC-LIGHT-UI-36</t>
  </si>
  <si>
    <t>Mục " ĐANG CHẠY" hiển thị đúng lịch thật đang chạy (tên, loại, khung giờ), hoặc "Chưa có lịch" nếu không có.</t>
  </si>
  <si>
    <t>Khối tóm tắt đang hiển thị.</t>
  </si>
  <si>
    <t>1. Đọc giá trị mục "LỊCH ĐANG CHẠY".
2. Đối chiếu với card có nhãn "Đang chạy" trong Timeline (TC-LIGHT-UI-15).</t>
  </si>
  <si>
    <t>Nếu có lịch đang chạy, tên/loại khớp với card "Đang chạy" trong Timeline; nếu không, hiển thị "Chưa có lịch".</t>
  </si>
  <si>
    <t>TC-LIGHT-UI-37</t>
  </si>
  <si>
    <t>Mục "LỊCH TIẾP THEO" hiển thị tên, loại lịch, khung giờ của lịch sắp chạy kế tiếp.</t>
  </si>
  <si>
    <t>1. Đọc giá trị mục "LỊCH TIẾP THEO".</t>
  </si>
  <si>
    <t>Nếu có lịch chuẩn bị chạy, tên/loại khớp với card "Sắp tới" Hiển thị đủ tên lịch, loại (Mặc định/Theo lịch/Ưu tiên), khung giờ dạng "HH:mm–HH:mm".</t>
  </si>
  <si>
    <t>TC-LIGHT-UI-38</t>
  </si>
  <si>
    <t>Mục "LỊCH GẦN NHẤT" hiển thị lịch đã thực thi gần nhất, hoặc thông báo tương ứng nếu chưa có.</t>
  </si>
  <si>
    <t>1. Đọc giá trị mục "LỊCH GẦN NHẤT".</t>
  </si>
  <si>
    <t>Hiển thị tên lịch gần nhất đã chạy, hoặc thông báo phù hợp nếu hệ thống chưa ghi nhận lần thực thi nào tên/loại khớp với card "Đã kết thúc" Hiển thị đủ tên lịch, loại (Mặc định/Theo lịch/Ưu tiên), khung giờ dạng "HH:mm–HH:mm".</t>
  </si>
  <si>
    <t>SC-LIGHT-UI-010</t>
  </si>
  <si>
    <t>Gap Analysis - So sánh UI thật với API canonical</t>
  </si>
  <si>
    <t>TC-LIGHT-UI-40</t>
  </si>
  <si>
    <t>[Xác nhận nâng cấp] UI Lighting hiện tại đã hoàn tất nối với API canonical (Priority/Default/Scheduled đủ 3 loại, startDate/endDate, timeSlots start+end) và bổ sung thêm cách nhóm card theo loại lịch (LỊCH ƯU TIÊN / LỊCH THEO THỜI GIAN / LỊCH MẶC ĐỊNH) so với lần khảo sát trước.</t>
  </si>
  <si>
    <t>Đã đối chiếu cấu trúc dialog Thêm/Sửa lịch và cách nhóm card hiện tại với các lần khảo sát UI trước đó trong cùng dự án.</t>
  </si>
  <si>
    <t>1. So sánh cấu trúc dialog hiện tại (Mức độ ưu tiên 3 lựa chọn, ngày bắt đầu/kết thúc, mỗi khung giờ có start+end+brightness) và cách nhóm 3 khối card theo loại lịch với ghi nhận trước đó.</t>
  </si>
  <si>
    <t>Ghi nhận UI tiếp tục tiến hóa để khớp API canonical - cần retest định kỳ vì hệ thống đang được phát triển/deploy liên tục, kết quả test có thể lỗi thời chỉ sau vài giờ.</t>
  </si>
  <si>
    <t>XÁC NHẬN: dialog Thêm/Sửa lịch hiện tại có đủ Mức độ ưu tiên (3 lựa chọn, không khóa), Ngày bắt đầu/kết thúc (input[type=date]), mỗi khung giờ có cả Thời gian bắt đầu VÀ kết thúc (input[type=time] x2) + Mức sáng - khớp gần như hoàn toàn với cấu trúc scheduleType/startDate/endDate/timeSlots của API canonical. UI còn bổ sung thêm việc nhóm card theo loại lịch (LỊCH ƯU TIÊN/LỊCH THEO THỜI GIAN/LỊCH MẶC ĐỊNH) so với các lần khảo sát trước - xác nhận hệ thống vẫn đang tiếp tục được phát triển tích cực, đề nghị team QA retest định kỳ.</t>
  </si>
  <si>
    <t>TC-LIGHT-UI-41</t>
  </si>
  <si>
    <t>[So sánh spec] Quy tắc màu sắc theo mức ưu tiên (spec 8.7.2: Mặc định=Xám, Theo lịch=Xanh dương, Ưu tiên=Cam).</t>
  </si>
  <si>
    <t>UI hiện có đủ 3 nhóm card Mặc định/Theo lịch/Ưu tiên thật trên danh sách.</t>
  </si>
  <si>
    <t>1. Lấy màu/tag hiển thị của 1 card mỗi loại (Mặc định, Theo lịch, Ưu tiên) và so sánh lẫn nhau.</t>
  </si>
  <si>
    <t>Mỗi loại phải có màu/tag riêng biệt, rõ ràng theo đúng bảng quy tắc màu spec 8.7.4/8.7.2 (Mặc định=Xám, Theo lịch=Xanh dương, Ưu tiên=Cam).</t>
  </si>
  <si>
    <t>Mỗi loại phải có màu/tag riêng biệt, rõ ràng theo đúng bảng quy tắc màu (Mặc định=Xám, Theo lịch=Xanh dương, Ưu tiên=Cam).</t>
  </si>
  <si>
    <t>TC-LIGHT-UI-42</t>
  </si>
  <si>
    <t>[Gap Analysis] Đối chiếu số lượng lịch thật đang có trên thiết bị tại thời điểm chạy test với các lần khảo sát trước, để phát hiện thay đổi dữ liệu bất thường.</t>
  </si>
  <si>
    <t>Đã có số liệu số lượng lịch ghi nhận ở các lần khảo sát UI trước.</t>
  </si>
  <si>
    <t>1. Đọc số lượng "(n)" hiện tại cạnh nút "Hôm nay".
2. So sánh với số liệu ghi nhận gần nhất trước đó.</t>
  </si>
  <si>
    <t>Ghi nhận số lượng hiện tại; nếu thay đổi lớn bất thường so với lần trước, cần xác nhận với team vận hành đây là thay đổi có chủ đích (dữ liệu demo/seed) hay sự cố ngoài ý muốn.</t>
  </si>
  <si>
    <t>Số lượng lịch quan sát được tại thời điểm chạy: 1 (nhóm theo 3 loại: Mặc định/Theo lịch/Ưu tiên). Đây là dữ liệu "Lịch mẫu - ..." trông giống dữ liệu demo/seed có chủ đích hơn là dữ liệu test tích lũy - cần team vận hành xác nhận.</t>
  </si>
  <si>
    <t>SC-LIGHT-UI-011</t>
  </si>
  <si>
    <t>Business rule Create - STT 1: End=Start không conflict</t>
  </si>
  <si>
    <t>TC-LIGHT-UI-43</t>
  </si>
  <si>
    <t>Tạo lịch có khung giờ nối tiếp ngay sau 1 lịch có sẵn (End của lịch mới = Start của lịch cũ, hoặc ngược lại) không bị coi là xung đột.</t>
  </si>
  <si>
    <t>Đã có ít nhất 1 lịch thật với khung giờ xác định (lịch throwaway tự tạo ở TC-LIGHT-UI-30).</t>
  </si>
  <si>
    <t>1. Mở dialog Thêm lịch.
2. Điền khung giờ bắt đầu đúng bằng giờ kết thúc của 1 lịch có sẵn cùng ngày.
3. Bấm "Thêm lịch" và quan sát có bị từ chối do xung đột không.</t>
  </si>
  <si>
    <t>Không có cảnh báo xung đột nào xuất hiện, lịch mới được tạo thành công - business rule STT 1: "End = Start" không phải conflict.</t>
  </si>
  <si>
    <t>Tạo lịch "QA-UI-Probe-2-1785806043175" (T7 13:30-14:00, bắt đầu đúng lúc Probe1 kết thúc) thành công - xác nhận End=Start không bị coi là xung đột.</t>
  </si>
  <si>
    <t>Business rule Create - STT 2: Trùng hoàn toàn thời gian + mức ưu tiên bị từ chối</t>
  </si>
  <si>
    <t>TC-LIGHT-UI-44</t>
  </si>
  <si>
    <t>Tạo lịch trùng hoàn toàn khung giờ VÀ mức độ ưu tiên với 1 lịch có sẵn phải bị hệ thống từ chối, thông báo "Schedule conflict" (hoặc tương đương).</t>
  </si>
  <si>
    <t>Đã có ít nhất 1 lịch thật với khung giờ + mức ưu tiên xác định (lịch throwaway tự tạo ở TC-LIGHT-UI-30).</t>
  </si>
  <si>
    <t>1. Mở dialog Thêm lịch.
2. Điền chính xác cùng ngày, cùng khung giờ, cùng Mức độ ưu tiên với 1 lịch có sẵn.
3. Bấm "Thêm lịch" và quan sát thông báo lỗi.</t>
  </si>
  <si>
    <t>Hệ thống từ chối lưu, hiển thị thông báo dạng "Schedule conflict"/"Xung đột lịch trình".</t>
  </si>
  <si>
    <t>Tạo lịch trùng hoàn toàn khung giờ+loại với "QA-UI-Probe-1-1785806043175" bị từ chối đúng (dialog vẫn mở), thông báo: "Lỗi
Lịch bị chồng với một lịch cùng mức ưu tiên.".</t>
  </si>
  <si>
    <t>Business rule Create - STT 3: Giao nhau 1 phần được phép lưu</t>
  </si>
  <si>
    <t>TC-LIGHT-UI-45</t>
  </si>
  <si>
    <t>[Mâu thuẫn với API canonical] Theo bảng rule STT 3, tạo lịch giao nhau 1 phần với lịch có sẵn (VD A:18:00-22:00, B:21:00-23:00) phải ĐƯỢC PHÉP lưu.</t>
  </si>
  <si>
    <t>Đã có ít nhất 1 lịch thật với khung giờ xác định.</t>
  </si>
  <si>
    <t>1. So sánh business rule STT 3 (cho phép giao nhau 1 phần) với kết quả đã kiểm chứng ở lớp API canonical: TC-L-SCHED-007 xác nhận POST lịch giao nhau 1 phần CÙNG LOẠI trả về 409 SCHEDULE_OVERLAP (bị từ chối), không phải cho lưu như bảng rule STT 3 mô tả.</t>
  </si>
  <si>
    <t>Cần BA/dev xác nhận: bảng rule STT 1-12 có còn áp dụng cho canonical API/UI hiện tại hay chỉ áp dụng cho model legacy cũ (trước khi UI được nối canonical).</t>
  </si>
  <si>
    <t>Tạo được lưu được lịch overlap -&gt; Khác mức ưu tiên thôi nha</t>
  </si>
  <si>
    <t>Business rule Create - STT 4: Bao phủ/nằm trong lịch khác được phép lưu</t>
  </si>
  <si>
    <t>TC-LIGHT-UI-46</t>
  </si>
  <si>
    <t>[Mâu thuẫn với API canonical - cùng lý do TC-45] Bảng rule STT 4 nói lịch bao phủ hoàn toàn hoặc nằm hoàn toàn trong 1 lịch khác vẫn ĐƯỢC PHÉP lưu.</t>
  </si>
  <si>
    <t>1. Đối chiếu business rule STT 4 với quy tắc API canonical "Hai lịch cùng loại không được overlap" (Contract mục 2.1) - bao phủ hoàn toàn vẫn là 1 dạng overlap.</t>
  </si>
  <si>
    <t>Cần xác nhận rõ với BA/dev tương tự TC-45.</t>
  </si>
  <si>
    <t>Cũng chỉ lịch khác mức ưu tiên thì mới được trùng</t>
  </si>
  <si>
    <t>SC-LIGHT-UI-012</t>
  </si>
  <si>
    <t>Business rule Create - STT 5: Tạo lịch trong khung giờ hiện tại áp dụng ngay</t>
  </si>
  <si>
    <t>TC-LIGHT-UI-47</t>
  </si>
  <si>
    <t>Tạo lịch mới có khung giờ bao trùm thời điểm hiện tại phải được áp dụng NGAY (đèn bật/đổi độ sáng theo cấu hình lịch) mà không cần đợi chu kỳ tiếp theo.</t>
  </si>
  <si>
    <t>Xác định được thời điểm hiện tại để thiết lập khung giờ bao trùm.</t>
  </si>
  <si>
    <t>1. Mở dialog Thêm lịch, thiết lập khung giờ bao trùm giờ hiện tại (VD giờ hiện tại ± 15 phút).
2. Bấm "Thêm lịch".
3. Quan sát khối "Trạng thái hiện tại" (Nguồn/Mức sáng) có cập nhật ngay theo lịch vừa tạo không.</t>
  </si>
  <si>
    <t>Lịch lưu thành công; khối Trạng thái hiện tại cập nhật NGAY theo cấu hình độ sáng của lịch vừa tạo, không cần tải lại trang.</t>
  </si>
  <si>
    <t>Đã đáp ứng, khi lịch có độ ưu tiên cao hơn overlap với lịch hiện tại =&gt; Cập nhật ngay theo lịch có độ ưu tiên cao hơn</t>
  </si>
  <si>
    <t>SC-LIGHT-UI-013</t>
  </si>
  <si>
    <t>Business rule Update - STT 6: Cập nhật không xung đột thành công</t>
  </si>
  <si>
    <t>TC-LIGHT-UI-48</t>
  </si>
  <si>
    <t>Cập nhật 1 lịch (VD đổi Mức sáng) không làm phát sinh xung đột thì lưu thành công, hiển thị "Cập nhật lịch thành công".</t>
  </si>
  <si>
    <t>Dialog Chỉnh sửa đang mở cho 1 lịch không đang chạy (lịch throwaway tự tạo).</t>
  </si>
  <si>
    <t>1. Chỉ đổi giá trị Mức sáng của 1 khung giờ (giữ nguyên ngày/giờ).
2. Bấm "Cập nhật".</t>
  </si>
  <si>
    <t>Cập nhật thành công, hiển thị thông báo "Cập nhật lịch thành công" (hoặc tương đương).</t>
  </si>
  <si>
    <t>Đổi Mức sáng của "QA-UI-Probe-2-1785806043175" (giữ nguyên giờ/ngày) - cập nhật thành công (dialog đóng, không lỗi), không bị coi là xung đột.</t>
  </si>
  <si>
    <t>Business rule Update - STT 6b: Chỉ check conflict khi đổi giờ/ngày/lặp lại</t>
  </si>
  <si>
    <t>TC-LIGHT-UI-49</t>
  </si>
  <si>
    <t>Ghi chú business rule STT 6: "Chỉ kiểm tra conflict nếu thay đổi thời gian, ngày áp dụng hoặc Repeat" - đổi các field KHÁC (VD tên, mức sáng) không kích hoạt kiểm tra xung đột.</t>
  </si>
  <si>
    <t>Dialog Chỉnh sửa đang mở cho 1 lịch không đang chạy.</t>
  </si>
  <si>
    <t>1. Chỉ đổi Tên lịch trình, giữ nguyên hoàn toàn ngày/giờ/khung giờ.
2. Quan sát UI có hiện cảnh báo xung đột nào không (dù ngày/giờ trùng chính lịch đang sửa, đây không phải conflict thật vì đang cùng 1 bản ghi).</t>
  </si>
  <si>
    <t>Không có cảnh báo xung đột nào xuất hiện khi chỉ đổi tên - hành vi khớp ghi chú business rule STT 6.</t>
  </si>
  <si>
    <t>Xác nhận: chỉ đổi Tên lịch trình (giữ nguyên ngày/giờ) không kích hoạt cảnh báo xung đột nào, cập nhật thành công thành "QA-UI-Probe-2-1785806043175-Renamed".</t>
  </si>
  <si>
    <t>Business rule Update - STT 7: Cập nhật gây xung đột bị từ chối</t>
  </si>
  <si>
    <t>TC-LIGHT-UI-50</t>
  </si>
  <si>
    <t>Cập nhật 1 lịch làm khung giờ mới giao với 1 lịch khác (cùng mức ưu tiên) phải bị từ chối, thông báo "Cập nhật thất bại do xung đột lịch".</t>
  </si>
  <si>
    <t>Có ít nhất 2 lịch thật để tạo tình huống xung đột khi sửa (2 lịch throwaway tự tạo ở TC-LIGHT-UI-30/43).</t>
  </si>
  <si>
    <t>1. Mở dialog Chỉnh sửa 1 lịch.
2. Sửa khung giờ trùng với 1 lịch khác cùng mức ưu tiên.
3. Bấm "Cập nhật" và quan sát thông báo lỗi.</t>
  </si>
  <si>
    <t>Hệ thống từ chối cập nhật và báo "Cập nhật thất bại do xung đột lịch" (hoặc tương đương).</t>
  </si>
  <si>
    <t>Sửa "QA-UI-Probe-2-1785806043175-Renamed" sang khung giờ giao với "QA-UI-Probe-1-1785806043175" (13:00-13:30) bị từ chối đúng (dialog vẫn mở), thông báo: "Lỗi
Lịch bị chồng với một lịch cùng mức ưu tiên.".</t>
  </si>
  <si>
    <t>Business rule Update - STT 8: Cập nhật lịch đang Running</t>
  </si>
  <si>
    <t>TC-LIGHT-UI-51</t>
  </si>
  <si>
    <t>[Gap Analysis đã xác nhận rõ] Bảng rule STT 8 mô tả: cập nhật lịch đang Running vẫn ĐƯỢC PHÉP, kèm popup xác nhận riêng "Lịch chiếu sáng này đang được thực thi...". UI thực tế hiện tại KHÔNG cho phép sửa và cũng KHÔNG dùng popup xác nhận kiểu đó - mà mở dialog "Chi tiết lịch chiếu sáng" chỉ-xem (input/nút Cập nhật/Xóa disabled, kèm banner cảnh báo cố định).</t>
  </si>
  <si>
    <t>Có 1 lịch đang thật sự "Đang chạy" trên thiết bị.</t>
  </si>
  <si>
    <t xml:space="preserve">1. Click vào card đang "Đang chạy"  quan sát dialog "Chi tiết lịch chiếu sáng" </t>
  </si>
  <si>
    <t>Không cho phép cập nhật và hiện thị Lịch đang phát bị khóa chỉnh sửa và xóa.</t>
  </si>
  <si>
    <t>SC-LIGHT-UI-014</t>
  </si>
  <si>
    <t>Business rule Delete - STT 9: Nội dung popup xác nhận xóa lịch không Running</t>
  </si>
  <si>
    <t>TC-LIGHT-UI-52</t>
  </si>
  <si>
    <t>[So sánh spec] Bảng rule STT 9 yêu cầu popup xác nhận xóa có Title "Bạn có chắc chắn muốn xóa lịch này không?" và Description "Lịch đang được kích hoạt nhưng chưa đến thời gian thực thi. Sau khi xóa, lịch sẽ không còn được áp dụng cho hệ thống."</t>
  </si>
  <si>
    <t>Popup xác nhận xóa đang mở cho 1 lịch không Running (đã quan sát ở TC-LIGHT-UI-32).</t>
  </si>
  <si>
    <t>1. Đối chiếu nội dung popup xác nhận xóa thực tế đã ghi nhận ở TC-LIGHT-UI-32 với text spec business rule STT 9.</t>
  </si>
  <si>
    <t>Nội dung popup phải khớp đúng Title + Description theo bảng rule STT 9.</t>
  </si>
  <si>
    <t>Không thể đối chiếu do không mở được popup xác nhận xóa.</t>
  </si>
  <si>
    <t>Business rule Delete - STT 9b: Popup đặc biệt khi chỉ còn 1 Schedule duy nhất</t>
  </si>
  <si>
    <t>TC-LIGHT-UI-53</t>
  </si>
  <si>
    <t>Nếu hệ thống chỉ còn đúng 1 Schedule duy nhất, xóa phải hiện popup cảnh báo riêng "Đây là Schedule duy nhất trong hệ thống. Bạn có chắc chắn muốn xóa không?"</t>
  </si>
  <si>
    <t>Thiết bị chỉ còn đúng 1 lịch duy nhất trong toàn hệ thống.</t>
  </si>
  <si>
    <t>1. Kiểm tra tổng số lịch hiện có trên thiết bị.
2. Nếu = 1, mở popup xóa lịch đó và đối chiếu nội dung cảnh báo đặc biệt.</t>
  </si>
  <si>
    <t>Khi chỉ còn 1 lịch, popup xác nhận phải có wording đặc biệt cảnh báo đây là lịch duy nhất.</t>
  </si>
  <si>
    <t>Không kiểm thử được tại thời điểm chạy vì thiết bị hiện có 1 lịch (không thỏa điều kiện tiên quyết chỉ còn đúng 1 lịch). Cần QA thủ công dàn dựng đúng 1 lịch duy nhất trên staging.</t>
  </si>
  <si>
    <t>Business rule Delete - STT 10: Không cho xóa lịch đang Running</t>
  </si>
  <si>
    <t>TC-LIGHT-UI-54</t>
  </si>
  <si>
    <t>Xóa lịch đang Running phải bị chặn - UI hiện tại chặn bằng cách mở dialog "Chi tiết lịch chiếu sáng" chỉ-xem với nút Xóa disabled (xem TC-LIGHT-UI-16/34), không phải khóa hẳn card hay báo lỗi sau khi bấm Xóa.</t>
  </si>
  <si>
    <t>Có 1 lịch đang thật sự "Đang chạy".</t>
  </si>
  <si>
    <t>1. Tham chiếu kết quả TC-LIGHT-UI-16 và TC-LIGHT-UI-34 (nút Xóa disabled trong dialog chi tiết của lịch đang chạy).</t>
  </si>
  <si>
    <t>SC-LIGHT-UI-015</t>
  </si>
  <si>
    <t>Business rule Mode - STT 11: Chuyển Manual giữ nguyên toàn bộ lịch</t>
  </si>
  <si>
    <t>TC-LIGHT-UI-55</t>
  </si>
  <si>
    <t>Chuyển Smart Pole sang Manual Mode không xóa, không Disable, không đổi cấu hình bất kỳ Schedule nào. Khi quay lại Auto vẫn dùng đúng các Schedule đã cấu hình.</t>
  </si>
  <si>
    <t>Ghi snapshot danh sách lịch (tên/số lượng) trước khi đổi mode.</t>
  </si>
  <si>
    <t>1. Ghi lại số lượng "(n)" và tên các lịch hiển thị trước khi đổi mode.
2. Chuyển sang Thủ công.
3. Chuyển lại Tự động.
4. So sánh danh sách lịch sau cùng với snapshot ban đầu.</t>
  </si>
  <si>
    <t>Số lượng và tên các lịch giữ nguyên hoàn toàn trước và sau vòng chuyển đổi Manual-&gt;Auto.</t>
  </si>
  <si>
    <t>Số lượng lịch trước đổi mode: (1), 1 tên; sau vòng Thủ công -&gt; Tự động: (1), 1 tên. Danh sách tên giữ nguyên hoàn toàn.</t>
  </si>
  <si>
    <t>Business rule Mode - STT 11b: Thông báo khi chuyển Manual thành công</t>
  </si>
  <si>
    <t>TC-LIGHT-UI-56</t>
  </si>
  <si>
    <t>Chuyển sang Manual Mode hiển thị thông báo "Chuyển sang chế độ thủ công thành công".</t>
  </si>
  <si>
    <t>Đang ở Auto Mode.</t>
  </si>
  <si>
    <t>1. Click nút "Thủ công".
2. Quan sát thông báo/toast xuất hiện.</t>
  </si>
  <si>
    <t>Hiển thị thông báo thành công dạng "Chuyển sang chế độ thủ công thành công" (hoặc tương đương).</t>
  </si>
  <si>
    <t>Business rule Mode - STT 12: Chuyển Auto thực thi lại Schedule đang Enable</t>
  </si>
  <si>
    <t>TC-LIGHT-UI-57</t>
  </si>
  <si>
    <t>Chuyển sang Auto Mode kích hoạt lại cơ chế thực thi Schedule, giữ lại các lịch đã cấu hình; nếu thời điểm hiện tại nằm trong khoảng hiệu lực của 1 Schedule, áp dụng ngay trạng thái tương ứng.</t>
  </si>
  <si>
    <t>Đang ở Manual Mode, có ít nhất 1 Schedule có khung giờ bao trùm thời điểm hiện tại.</t>
  </si>
  <si>
    <t>1. Chuyển sang Tự động.
2. Quan sát khối Trạng thái hiện tại (Nguồn/Mức sáng) có cập nhật ngay theo Schedule đang hiệu lực không.</t>
  </si>
  <si>
    <t>Trạng thái đèn cập nhật ngay theo đúng Schedule đang trong khung giờ hiệu lực tại thời điểm chuyển Auto.</t>
  </si>
  <si>
    <t>Xác nhận chuyển lại Tự động thành công - Nguồn điều khiển sau khi chuyển: "Theo lịch" (hệ thống hoạt động trở lại theo lịch).</t>
  </si>
  <si>
    <t>SC-LIGHT-UI-017</t>
  </si>
  <si>
    <t>Bổ sung - Đọc lại danh sách lịch sau khi đổi ngày Timeline</t>
  </si>
  <si>
    <t>TC-LIGHT-UI-59</t>
  </si>
  <si>
    <t>Sau khi điều hướng sang "Ngày tiếp theo" rồi quay về "Hôm nay" (TC-LIGHT-UI-12), số lượng lịch hiển thị đúng trở lại như ban đầu.</t>
  </si>
  <si>
    <t>Đã thực hiện điều hướng ngày ở TC-LIGHT-UI-12.</t>
  </si>
  <si>
    <t>1. So sánh số lượng "(n)" trước và sau vòng điều hướng Ngày tiếp theo -&gt; Hôm nay.</t>
  </si>
  <si>
    <t>Số lượng lịch hiển thị trở về đúng như trước khi điều hướng.</t>
  </si>
  <si>
    <t>Số lượng lịch trước điều hướng: (1), đếm được 1 card; sau vòng Ngày tiếp theo -&gt; Hôm nay: (1), đếm được 1 card.</t>
  </si>
  <si>
    <t>Bổ sung - Card "Bị ưu tiên đè" hiển thị đúng khi bị lịch mức ưu tiên cao hơn ghi đè</t>
  </si>
  <si>
    <t>TC-LIGHT-UI-60</t>
  </si>
  <si>
    <t>Khi có 1 lịch mức ưu tiên cao hơn đang playing, lịch mức ưu tiên thấp hơn cùng khung giờ phải chuyển nhãn trạng thái thành "Bị ưu tiên đè".</t>
  </si>
  <si>
    <t>Có ít nhất 1 lịch đang "Đang chạy" và 1 lịch khác loại/mức ưu tiên thấp hơn cùng khung giờ.</t>
  </si>
  <si>
    <t>1. Tìm card có nhãn "Bị ưu tiên đè".
2. Xác nhận có đúng 1 lịch mức ưu tiên cao hơn đang "Đang chạy" cùng thời điểm.</t>
  </si>
  <si>
    <t>Card "Bị ưu tiên đè" chỉ xuất hiện khi thực sự có 1 lịch mức ưu tiên cao hơn đang playing cùng khung giờ - xác nhận đúng cơ chế resolver ưu tiên (Priority &gt; Scheduled &gt; Default) hiển thị đúng lên UI.</t>
  </si>
  <si>
    <t>Card "Bị ưu tiên đè" chỉ xuất hiện khi thực sự có 1 lịch mức ưu tiên cao hơn đang playing cùng khung giờ</t>
  </si>
  <si>
    <t>Bổ sung - Đóng dialog Thêm lịch bằng icon Close (X)</t>
  </si>
  <si>
    <t>TC-LIGHT-UI-61</t>
  </si>
  <si>
    <t>Nút "Close" (icon X góc trên phải) đóng dialog Thêm lịch tương đương nút Hủy, không lưu dữ liệu.</t>
  </si>
  <si>
    <t>Dialog Thêm lịch đang mở, đã nhập dữ liệu bất kỳ.</t>
  </si>
  <si>
    <t>1. Nhập tên lịch bất kỳ.
2. Click icon "Close" thay vì nút "Hủy".</t>
  </si>
  <si>
    <t>Dialog đóng lại, không có lịch nào được tạo, hành vi tương đương nút "Hủy".</t>
  </si>
  <si>
    <t>Bấm icon Close (X) sau khi nhập tên mới - không có lịch nào được tạo, tương đương hành vi nút Hủy.</t>
  </si>
  <si>
    <t>Bổ sung - Không lỗi console khi thao tác toàn bộ luồng chính</t>
  </si>
  <si>
    <t>TC-LIGHT-UI-62</t>
  </si>
  <si>
    <t>Toàn bộ các thao tác đọc/mở/đóng dialog trong lần chạy test không phát sinh lỗi console nghiêm trọng liên quan tới chức năng Lighting (loại trừ lỗi hạ tầng không liên quan như WebSocket SIP).</t>
  </si>
  <si>
    <t>Đã thực hiện toàn bộ các bước kiểm thử tự động ở trên trong cùng 1 phiên trình duyệt.</t>
  </si>
  <si>
    <t>1. Thu thập toàn bộ console error phát sinh trong suốt phiên chạy.
2. Lọc bỏ các lỗi hạ tầng đã biết không liên quan (VD WebSocket wss://.../ws SIP Transport).</t>
  </si>
  <si>
    <t>Không có lỗi console nào liên quan trực tiếp tới chức năng Lighting (dialog, form, danh sách lịch).</t>
  </si>
  <si>
    <t>Không có lỗi console bất thường liên quan tới Lighting (đã loại trừ 4 lỗi hạ tầng/409-mong-đợi không tính là bug, VD WebSocket/SIP, và 409 Conflict phát sinh từ chính TC-44/TC-50 test hành vi từ chối xung đột).</t>
  </si>
  <si>
    <t>SC-LIGHT-UI-018</t>
  </si>
  <si>
    <t>Gap Analysis - Trùng lặp card lịch trong Timeline (đã đính chính)</t>
  </si>
  <si>
    <t>TC-LIGHT-UI-63</t>
  </si>
  <si>
    <t>[Đã đính chính] Không có lỗi render trùng lặp card trong khối Timeline. Phát hiện trước đó (script đếm được nhiều card hơn nhãn "(n)") là do phép đếm gộp chung cả khối Timeline (chỉ lịch áp dụng hôm nay) và khối "Lịch chiếu sáng" (danh sách đầy đủ mọi lịch trong hệ thống, xem SC-LIGHT-UI-019) làm một - không phải cùng 1 lịch bị render lặp trong cùng 1 khối.</t>
  </si>
  <si>
    <t>Trang Lighting đã tải xong, khối Timeline hiển thị ít nhất 1 card lịch.</t>
  </si>
  <si>
    <t>1. Liệt kê toàn bộ card lịch (khung giờ + tên + loại + trạng thái + mức sáng) trong PHẠM VI khối Timeline (không tính khối "Lịch chiếu sáng" bên cạnh) đã thu thập được ở TC-LIGHT-UI-13.
2. Nhóm theo nội dung giống hệt nhau và đếm số lần xuất hiện của mỗi lịch trong cùng khối Timeline.</t>
  </si>
  <si>
    <t>Mỗi lịch chỉ được render đúng 1 lần trong khối Timeline; số card đếm được khớp đúng nhãn "(n)" cạnh nút "Hôm nay" (TC-LIGHT-UI-13). Nếu vẫn phát hiện lịch nào render &gt;1 lần TRONG CÙNG khối Timeline, đây mới là lỗi hiển thị thật cần dev kiểm tra.</t>
  </si>
  <si>
    <t>[Đã đính chính phát hiện trước] Không có duplicate render thật sự trong khối Timeline (đếm được 1 card, khớp nhãn "(1)" ở TC-LIGHT-UI-13). Mismatch ghi nhận ở lần chạy trước không phải bug render - do script đếm gộp cả 2 khối Timeline + "Lịch chiếu sáng" (khối danh sách đầy đủ, xem TC-LIGHT-UI-64/65/66) vào cùng 1 con số; đã sửa bằng cách scope collectScheduleCards() vào đúng khối Timeline.</t>
  </si>
  <si>
    <t>SC-LIGHT-UI-019</t>
  </si>
  <si>
    <t>Khối "Lịch chiếu sáng" - danh sách đầy đủ toàn bộ lịch hệ thống</t>
  </si>
  <si>
    <t>TC-LIGHT-UI-64</t>
  </si>
  <si>
    <t>Khối "Lịch chiếu sáng" (panel riêng biệt cạnh Timeline) hiển thị đúng tiêu đề, mô tả "Tất cả lịch hiện tại và sắp tới đã được cấu hình.", nút "Thêm lịch" và ô tìm kiếm theo tên lịch.</t>
  </si>
  <si>
    <t>1. Quan sát khối "Lịch chiếu sáng" (panel riêng, không phải khối Timeline).</t>
  </si>
  <si>
    <t>Hiển thị đủ tiêu đề "Lịch chiếu sáng", mô tả "Tất cả lịch hiện tại và sắp tới đã được cấu hình.", nút "Thêm lịch" và ô tìm kiếm "Tìm theo tên lịch".</t>
  </si>
  <si>
    <t>Khối "Lịch chiếu sáng" (danh sách đầy đủ) hiển thị đúng tiêu đề/mô tả, có nút "Thêm lịch", có ô tìm kiếm.</t>
  </si>
  <si>
    <t>TC-LIGHT-UI-65</t>
  </si>
  <si>
    <t>Timeline chỉ hiển thị các lịch áp dụng cho ngày đang xem (Hôm nay), trong khi khối "Lịch chiếu sáng" hiển thị TOÀN BỘ lịch có trong hệ thống, kể cả lịch chưa/không áp dụng ngày hiện tại (VD lịch chỉ áp dụng 1 ngày trong tuần khác, hoặc còn ở trạng thái "Sắp tới").</t>
  </si>
  <si>
    <t>Hệ thống có ít nhất 1 lịch không áp dụng cho ngày đang xem ở Timeline (VD lịch chỉ chạy 1 thứ trong tuần khác với hôm nay).</t>
  </si>
  <si>
    <t>1. Đếm số lịch hiển thị trong khối Timeline (đã lọc theo ngày đang xem).
2. Đếm số lịch hiển thị trong khối "Lịch chiếu sáng" (danh sách đầy đủ, đối chiếu thêm với tổng số ở nhãn phân trang "Trang x/y · n lịch").
3. So sánh 2 con số.</t>
  </si>
  <si>
    <t>Số lượng lịch ở khối "Lịch chiếu sáng" luôn &gt;= số lượng ở Timeline (là tập hợp cha), và bằng đúng tổng số lịch thực tế đang được cấu hình trong hệ thống - không bị lọc theo ngày như Timeline.</t>
  </si>
  <si>
    <t>Timeline (hôm nay) hiển thị 1 lịch; khối "Lịch chiếu sáng" hiển thị 2 lịch trên trang hiện tại (tổng toàn hệ thống theo phân trang: 2). Danh sách đầy đủ bao trùm đúng tập lịch hôm nay của Timeline - xác nhận Timeline chỉ lọc theo ngày đang xem còn khối danh sách hiển thị TOÀN BỘ lịch có trong hệ thống (không lọc theo ngày).</t>
  </si>
  <si>
    <t>TC-LIGHT-UI-66</t>
  </si>
  <si>
    <t>Nhãn phân trang "Trang x/y · n lịch" ở khối "Lịch chiếu sáng" phản ánh đúng tổng số lịch thực tế trong hệ thống, độc lập với ngày Timeline đang xem.</t>
  </si>
  <si>
    <t>Khối "Lịch chiếu sáng" đang hiển thị.</t>
  </si>
  <si>
    <t>1. Đọc nhãn phân trang "Trang x/y · n lịch".
2. Đối chiếu con số n với số card lịch đếm được trên (các) trang của danh sách.</t>
  </si>
  <si>
    <t>Con số n trong nhãn phân trang khớp đúng tổng số card lịch đếm được trong khối "Lịch chiếu sáng".</t>
  </si>
  <si>
    <t>Nhãn phân trang hiển thị "Trang 1/1 · 2 lịch"; tổng số lịch ghi nhận qua nhãn (2) khớp với số card đếm được trên trang hiện tại (2).</t>
  </si>
  <si>
    <t>Rule Engine / Kịch bản thông minh</t>
  </si>
  <si>
    <t>https://becamexcomvn.sharepoint.com/:w:/r/sites/SmartPole/_layouts/15/Doc.aspx?sourcedoc=%7B3A801663-8B40-4199-94CE-A69F0EA3793F%7D&amp;file=PSD_Smart%20Pole_V0.1.0.docx&amp;action=default&amp;mobileredirect=true</t>
  </si>
  <si>
    <t>Khởi tạo testcase cho rule engine</t>
  </si>
  <si>
    <t xml:space="preserve">Cập nhật testcase theo phân tích mới cho rule engine </t>
  </si>
  <si>
    <t>Cập nhật testcase bổ sung cho rule engine</t>
  </si>
  <si>
    <t>Cập nhật testcase bổ sung cho rule engine sau khi update</t>
  </si>
  <si>
    <t>Nguyễn Văn Tài</t>
  </si>
  <si>
    <t>0.1.0</t>
  </si>
  <si>
    <t>Actual Results</t>
  </si>
  <si>
    <t>Tổng</t>
  </si>
  <si>
    <t>Open</t>
  </si>
  <si>
    <t>Pending</t>
  </si>
  <si>
    <t>Tên kịch bản kiểm thử</t>
  </si>
  <si>
    <t>Mã kiểm thử</t>
  </si>
  <si>
    <t>Kịch bản chi tiết</t>
  </si>
  <si>
    <t>Điều kiện tiên quyết</t>
  </si>
  <si>
    <t>Các bước thực hiện</t>
  </si>
  <si>
    <t>Kết quả mong đợi</t>
  </si>
  <si>
    <t>Kết quả thực tế</t>
  </si>
  <si>
    <t>Tình trạng</t>
  </si>
  <si>
    <t>Chú thích</t>
  </si>
  <si>
    <t>DEV Note
(Chú thích)</t>
  </si>
  <si>
    <t>Luồng đầu cuối - Mở và kiểm tra danh sách Kịch bản tự động</t>
  </si>
  <si>
    <t>RE-E2E-001-001</t>
  </si>
  <si>
    <t>Kiểm tra người dùng vào đúng module Kịch bản tự động theo phạm vi hiện tại.</t>
  </si>
  <si>
    <t>Người dùng đã đăng nhập hệ thống Smart Pole; có quyền xem/quản lý Kịch bản tự động; truy cập được trang Kịch bản tự động.</t>
  </si>
  <si>
    <t>1. Mở đường dẫn Kịch bản tự động.
2. Quan sát tiêu đề, sidebar, KPI, thẻ và bảng danh sách.
3. Không thao tác ghi dữ liệu.</t>
  </si>
  <si>
    <t>1. Trang hiển thị Quản lý kịch bản hệ thống.
2. Có 4 KPI tổng quan.
3. Có thẻ Giám sát kịch bản và Kịch bản cấu hình.
4. Không crash/trắng trang.</t>
  </si>
  <si>
    <t>RE-E2E-001-002</t>
  </si>
  <si>
    <t>Kiểm tra dữ liệu KPI trả về trên giao diện đúng định dạng tài liệu PSD.</t>
  </si>
  <si>
    <t>1. Mở Kịch bản tự động.
2. Quan sát 4 KPI.
3. Kiểm tra giá trị không dữ liệu rỗng/sai.</t>
  </si>
  <si>
    <t>1. Có Tổng số kịch bản, Thực hiện hôm nay, Kịch bản thành công, Kịch bản lỗi.
2. Mỗi KPI hiển thị giá trị số.
3. Không hiển thị dữ liệu rỗng/sai.</t>
  </si>
  <si>
    <t>RE-E2E-001-003</t>
  </si>
  <si>
    <t>Kiểm tra cột và dữ liệu bảng danh sách.</t>
  </si>
  <si>
    <t>1. Mở Kịch bản tự động.
2. Quan sát đầu trang bảng.
3. Đọc dữ liệu các dòng hiện tại.</t>
  </si>
  <si>
    <t>1. Bảng có đủ 12 cột theo tài liệu PSD.
2. Dữ liệu dòng không lỗi hiển thị.
3. Cột trạng thái, ưu tiên, phân loại map thành nhãn dễ hiểu.</t>
  </si>
  <si>
    <t>RE-E2E-001-004</t>
  </si>
  <si>
    <t>Kiểm tra thao tác trên mỗi dòng danh sách có dễ hiểu theo tài liệu PSD.</t>
  </si>
  <si>
    <t>1. Mở bảng danh sách.
2. Quan sát cột Hành động từng dòng.
3. Kiểm tra biểu tượng/menu có text/chú thích khi rê chuột/nhãn hỗ trợ truy cập.
4. Bấm tên kịch bản nếu cần xem cửa sổ chi tiết hoạt động.</t>
  </si>
  <si>
    <t>1. Cột Hành động có vùng thao tác thao tác trực tiếp như Sửa/Xóa/Kích hoạt nếu có.
2. Icon thao tác phải có chú thích khi rê chuột/nhãn hỗ trợ truy cập dễ hiểu.
3. Xem chi tiết hoạt động không bắt buộc nằm ở cột Hành động nếu tên kịch bản màu xanh là điểm thao tác chính.
4. Người dùng nhận biết được tên kịch bản có thể bấm để xem hoạt động.</t>
  </si>
  <si>
    <t>Display Dữ liệu - Thiếu thông tin hiển thị</t>
  </si>
  <si>
    <t>RE-DISPLAY-001-001</t>
  </si>
  <si>
    <t>Kiểm tra các cột dữ liệu quan trọng trên bảng Kịch bản tự động.</t>
  </si>
  <si>
    <t>Người dùng đã đăng nhập hệ thống Smart Pole; giao diện đang chọn tiếng Việt; truy cập được trang Kịch bản tự động và có ít nhất một dòng dữ liệu hoặc biểu mẫu tạo mới để quan sát.</t>
  </si>
  <si>
    <t>1. Mở thẻ Kịch bản cấu hình.
2. Quan sát từng dòng trong bảng.
3. Kiểm tra các cột Tên kịch bản, Phân loại, Điều kiện kích hoạt, Tần suất, Trạng thái, Độ ưu tiên, Số lần thực hiện, Người tạo.
4. Ghi nhận ô nào bị trống hoặc chỉ hiển thị dấu gạch.</t>
  </si>
  <si>
    <t>1. Mỗi dòng kịch bản hiển thị đủ thông tin nghiệp vụ chính.
2. Nếu dữ liệu hệ thống xử lý chưa có, giao diện phải hiển thị nhãn dễ hiểu như Chưa cấu hình/Chưa thực hiện, không để trống vô nghĩa.
3. Không hiển thị dữ liệu rỗng/sai.
4. Người dùng đọc bảng phải biết kịch bản thuộc nhóm nào, điều kiện gì, đang chạy ra sao.</t>
  </si>
  <si>
    <t>RE-DISPLAY-001-002</t>
  </si>
  <si>
    <t>Kiểm tra nút thao tác trong bảng có đủ ý nghĩa khi nhìn giao diện và khi đọc accessibility.</t>
  </si>
  <si>
    <t>1. Mở bảng danh sách Kịch bản tự động.
2. Quan sát cột Hành động của từng dòng.
3. Hover/focus vào các biểu tượng thao tác.
4. Kiểm tra biểu tượng có chú thích khi rê chuột hoặc text nhãn dễ hiểu.
5. Bấm tên kịch bản màu xanh để xác nhận điểm thao tác xem hoạt động.</t>
  </si>
  <si>
    <t>1. Các hành động trực tiếp như Sửa/Xóa/Kích hoạt nếu có phải có chú thích khi rê chuột hoặc nhãn hỗ trợ truy cập rõ.
2. Không bắt buộc có hành động Xem chi tiết ở cột Hành động nếu tên kịch bản là điểm thao tác xem hoạt động.
3. Tên kịch bản màu xanh phải bấm được và mở cửa sổ chi tiết hoạt động.
4. Người dùng không phải đoán ý nghĩa biểu tượng thao tác.</t>
  </si>
  <si>
    <t>RE-DISPLAY-001-003</t>
  </si>
  <si>
    <t>Kiểm tra thẻ điều kiện sau khi thêm điều kiện trên giao diện.</t>
  </si>
  <si>
    <t>1. Mở biểu mẫu tạo mới.
2. Bấm Thêm nhóm ĐK.
3. Bấm Thêm ĐK trong nhóm.
4. Chọn phân loại, mã thiết bị, thông số, toán tử và giá trị.
5. Lưu điều kiện.
6. Quan sát thẻ điều kiện vừa tạo.</t>
  </si>
  <si>
    <t>1. Thẻ điều kiện hiển thị đủ 5 phần: phân loại, mã thiết bị, thông số, toán tử, giá trị.
2. Không được hiển thị câu thiếu dữ liệu như Đèn LED / / . hoặc bỏ trống thiết bị/trường.
3. Text thẻ phải dễ hiểu bằng tiếng Việt, ví dụ: Thiết bị Đèn LED mã Dimming-Light có Độ sáng màn hình bằng 1.</t>
  </si>
  <si>
    <t>RE-DISPLAY-001-004</t>
  </si>
  <si>
    <t>Kiểm tra thẻ hành động THEN/ELSE sau khi thêm hành động.</t>
  </si>
  <si>
    <t>1. Mở biểu mẫu tạo mới.
2. Thêm ít nhất một điều kiện hợp lệ.
3. Bấm thêm hành động trong THEN.
4. Chọn loại thiết bị, mã thiết bị, hành động và tham số.
5. Lưu hành động.
6. Quan sát thẻ hành động.</t>
  </si>
  <si>
    <t>1. Thẻ hành động hiển thị đủ loại thiết bị, mã thiết bị, tên hành động và tham số chính.
2. Nếu hành động có brightness/trạng thái/thời gian thì phải hiển thị rõ giá trị.
3. Không hiển thị hành động chung chung khiến người dùng không biết thiết bị nào sẽ bị tác động.</t>
  </si>
  <si>
    <t>I18N - Việt hóa giao diện Kịch bản tự động</t>
  </si>
  <si>
    <t>RE-I18N-001-001</t>
  </si>
  <si>
    <t>Kiểm tra toàn bộ navigation và đầu trang khi giao diện đang ở tiếng Việt.</t>
  </si>
  <si>
    <t>Người dùng đã chọn tiếng Việt trên giao diện; mở Kịch bản tự động ở môi trường môi trường phát triển; không thao tác dịch vụ.</t>
  </si>
  <si>
    <t>1. Mở Kịch bản tự động.
2. Bấm đúng nút ngôn ngữ tiếng Việt trên đầu trang nếu giao diện đang ở tiếng Anh.
3. Kiểm tra sidebar/menu trái.
4. Kiểm tra đầu trang/topbar.
5. Quan sát các text luôn hiển thị trên màn hình.</t>
  </si>
  <si>
    <t>1. Khi chọn tiếng Việt, navigation/đầu trang phải dùng tiếng Việt thống nhất.
2. Danh sách/đầu trang hiển thị Quản lý kịch bản hệ thống, Thêm mới, Tên kịch bản.
3. Không lấy trạng thái tiếng Anh làm bug của tiếng Việt.</t>
  </si>
  <si>
    <t>RE-I18N-001-002</t>
  </si>
  <si>
    <t>Kiểm tra chú thích khi rê chuột/tiêu đề/aria text của vùng thao tác trên đầu trang và nút biểu tượng.</t>
  </si>
  <si>
    <t>1. Mở Kịch bản tự động.
2. Hover/focus các nút đầu trang như đổi theme, sidebar, ngôn ngữ.
3. Hover/focus biểu tượng Sửa/Xóa ở bảng.
4. Quan sát chú thích khi rê chuột/tiêu đề/nhãn hỗ trợ truy cập.</t>
  </si>
  <si>
    <t>1. Tooltip/tiêu đề/nhãn hỗ trợ truy cập phải là tiếng Việt khi người dùng chọn tiếng Việt.
2. Ví dụ đổi theme phải hiển thị Bật chế độ sáng/tối thay vì tiếng Anh.
3. Icon-only phải có mô tả tiếng Việt dễ hiểu.</t>
  </si>
  <si>
    <t>RE-I18N-001-003</t>
  </si>
  <si>
    <t>Kiểm tra danh sách chọn Phân loại trong biểu mẫu tạo mới và bộ lọc danh sách.</t>
  </si>
  <si>
    <t>1. Mở biểu mẫu Tạo mới kịch bản ở trạng thái tiếng Việt.
2. Quan sát danh sách chọn Phân loại.
3. Mở danh sách chọn và đọc toàn bộ option.
4. Quay lại danh sách và mở bộ lọc phân loại.</t>
  </si>
  <si>
    <t>1. Phân loại phải hiển thị tiếng Việt thống nhất, ví dụ Tiết kiệm năng lượng.
2. Danh sách và biểu mẫu dùng cùng bộ nhãn.
3. Không lẫn English nhãn với Vietnamese nhãn trong cùng màn.</t>
  </si>
  <si>
    <t>RE-I18N-001-004</t>
  </si>
  <si>
    <t>Kiểm tra thông báo lỗi/thành công khi thao tác biểu mẫu Kịch bản tự động.</t>
  </si>
  <si>
    <t>1. Mở biểu mẫu Tạo mới ở trạng thái tiếng Việt.
2. Nhập Tên kịch bản nhưng để trống Mô tả.
3. Bấm Lưu.
4. Quan sát thông báo/kiểm tra hợp lệ.</t>
  </si>
  <si>
    <t>1. Thông báo/kiểm tra hợp lệ hiển thị bằng tiếng Việt.
2. Thông báo nói rõ thiếu thông tin bắt buộc.
3. Không hiển thị thông báo tiếng Anh, mã lỗi kỹ thuật, lỗi kỹ thuật hệ thống hoặc thô dịch vụ lỗi cho người dùng.</t>
  </si>
  <si>
    <t>Action: Thông báo: 120 giây</t>
  </si>
  <si>
    <t>RE-I18N-001-005</t>
  </si>
  <si>
    <t>Kiểm tra các text kỹ thuật trong chế độ mô tả và thẻ dữ liệu JSON.</t>
  </si>
  <si>
    <t>1. Mở biểu mẫu Tạo mới.
2. Quan sát thẻ Mô tả/dữ liệu JSON.
3. Bấm qua lại giữa hai thẻ.
4. Quan sát text kỹ thuật, placeholder và trạng thái chưa có dữ liệu.</t>
  </si>
  <si>
    <t>1. Chế độ dữ liệu JSON có thể giữ chữ dữ liệu JSON nhưng các mô tả xung quanh phải dễ hiểu bằng tiếng Việt.
2. Không hiển thị thô danh sách chọn hoặc key kỹ thuật trong chế độ Mô tả.
3. Empty state phải hướng dẫn bằng tiếng Việt rõ ràng.</t>
  </si>
  <si>
    <t>Luồng đầu cuối - Tìm kiếm và lọc danh sách</t>
  </si>
  <si>
    <t>RE-E2E-002-001</t>
  </si>
  <si>
    <t>Kiểm tra trạng thái chưa có dữ liệu theo luồng tìm kiếm tài liệu PSD.</t>
  </si>
  <si>
    <t>1. Focus ô Tìm theo tên kịch bản.
2. Nhập keyword không tồn tại.
3. Quan sát bảng và pagination.
4. Xóa keyword.</t>
  </si>
  <si>
    <t>1. giao diện không crash.
2. Bảng hiển thị trạng thái chưa có dữ liệu/không có kết quả.
3. Pagination không cho chuyển trang vô nghĩa.
4. Xóa keyword trả danh sách về trạng thái trước đó.</t>
  </si>
  <si>
    <t>RE-E2E-002-002</t>
  </si>
  <si>
    <t>Kiểm tra ô tìm kiếm với khoảng trắng, chuỗi dài và payload script.</t>
  </si>
  <si>
    <t>1. Nhập 3 khoảng trắng vào ô tìm kiếm.
2. Nhập chuỗi 300 ký tự.
3. Nhập payload &lt;script&gt;alert(1)&lt;/script&gt;.
4. Quan sát giao diện sau từng lần nhập.</t>
  </si>
  <si>
    <t>1. giao diện trim/bỏ qua khoảng trắng hoặc xử lý an toàn.
2. Chuỗi dài không làm giao diện crash.
3. Payload script không thực thi.
4. Bảng/trạng thái chưa có dữ liệu vẫn hiển thị ổn định.</t>
  </si>
  <si>
    <t>Action: Loa: 10 giây</t>
  </si>
  <si>
    <t>RE-E2E-002-003</t>
  </si>
  <si>
    <t>Kiểm tra bộ lọc Phân loại, Trạng thái, Điều kiện kích hoạt.</t>
  </si>
  <si>
    <t>1. Bấm danh sách chọn Tất cả phân loại.
2. Bấm danh sách chọn Tất cả trạng thái.
3. Bấm danh sách chọn Tất cả điều kiện.
4. Đối chiếu option hiển thị với tài liệu PSD.</t>
  </si>
  <si>
    <t>1. Phân loại hiển thị đủ nhóm nghiệp vụ.
2. Trạng thái có Đang bật/Đang tắt/Bản nháp/Lưu trữ.
3. Điều kiện kích hoạt có nhóm điều kiện đúng tài liệu PSD.
4. Dropdown mở được và không crash.</t>
  </si>
  <si>
    <t>Luồng đầu cuối - Tạo mới kịch bản: thông tin chung</t>
  </si>
  <si>
    <t>RE-E2E-003-001</t>
  </si>
  <si>
    <t>Kiểm tra nút Thêm mới mở đúng biểu mẫu theo tài liệu PSD 8.3.2.</t>
  </si>
  <si>
    <t>1. Ở danh sách Kịch bản tự động, bấm Thêm mới.
2. Quan sát breadcrumb/tiêu đề và các section biểu mẫu.
3. Không lưu dữ liệu.</t>
  </si>
  <si>
    <t>1. Điều hướng sang biểu mẫu Tạo mới kịch bản.
2. Có section THÔNG TIN CHUNG, CHI TIẾT KỊCH BẢN, ĐIỀU KIỆN, THEN, ELSE.
3. Có nút Xóa thay đổi, Dùng mẫu, Lưu.</t>
  </si>
  <si>
    <t>RE-E2E-003-002</t>
  </si>
  <si>
    <t>Kiểm tra default trường theo tài liệu PSD.</t>
  </si>
  <si>
    <t>1. Mở biểu mẫu tạo mới ở trạng thái tiếng Việt.
2. Quan sát Tên, Mô tả, Phân loại, Độ ưu tiên, Trạng thái.
3. Mở danh sách chọn Phân loại và Độ ưu tiên.</t>
  </si>
  <si>
    <t>1. Tên kịch bản có thể để trống lúc tạo ban đầu; nếu lưu khi chưa đặt tên thì hệ thống tự sinh tên dạng Bản nháp chưa đặt tên/Untiêu đềd.
2. Mô tả vẫn là thông tin bắt buộc nếu logic hệ thống yêu cầu.
3. Phân loại mặc định Tiết kiệm năng lượng.
4. Độ ưu tiên mặc định Trung bình.
5. Kịch bản mới có Bản nháp và Đang bật.</t>
  </si>
  <si>
    <t>RE-E2E-003-004</t>
  </si>
  <si>
    <t>Kiểm tra max length theo tài liệu PSD.</t>
  </si>
  <si>
    <t>1. Nhập Tên kịch bản 255 ký tự.
2. Nhập Tên kịch bản 256 ký tự.
3. Nhập Mô tả 500 và 501 ký tự.
4. Quan sát giới hạn/kiểm tra hợp lệ.</t>
  </si>
  <si>
    <t>1. Tên 255 ký tự hợp lệ.
2. Tên 256 ký tự bị chặn hoặc báo lỗi.
3. Mô tả 500 ký tự hợp lệ.
4. Mô tả 501 ký tự bị chặn hoặc báo lỗi.
5. Không lưu dữ liệu vượt giới hạn.</t>
  </si>
  <si>
    <t>RETEST 07/09/2026: Tên 255/256 ký tự vẫn đúng (chặn ở 255). Mô tả: nhập 600 ký tự -&gt; hệ thống TỰ ĐỘNG CẮT còn đúng 500 ký tự, bộ đếm hiển thị "500/500". Đã fix hoàn toàn.</t>
  </si>
  <si>
    <t>Đã fix - cả Tên và Mô tả đều chặn đúng giới hạn (255/500)</t>
  </si>
  <si>
    <t>Luồng đầu cuối - Cấu hình IF điều kiện</t>
  </si>
  <si>
    <t>RE-E2E-004-001</t>
  </si>
  <si>
    <t>Kiểm tra điều kiện section theo tài liệu PSD.</t>
  </si>
  <si>
    <t>1. Mở biểu mẫu tạo mới.
2. Quan sát section ĐIỀU KIỆN.
3. Bấm Thêm nhóm ĐK.
4. Quan sát nhóm điều kiện.</t>
  </si>
  <si>
    <t>1. Mặc định có khu vực điều kiện.
2. Có thể thêm NHÓM 1.
3. Nhóm mới có trạng thái chưa có dữ liệu và nút thêm điều kiện cấp 2.
4. Không tự lưu dữ liệu.</t>
  </si>
  <si>
    <t>RE-E2E-004-002</t>
  </si>
  <si>
    <t>Kiểm tra biểu mẫu tạo điều kiện theo tài liệu PSD.</t>
  </si>
  <si>
    <t>1. Trong NHÓM 1, bấm biểu tượng thêm điều kiện.
2. Quan sát danh sách chọn Phân loại, Mã thiết bị, Thông số, Toán tử, Giá trị.
3. Không lưu nếu chưa có dữ liệu test.</t>
  </si>
  <si>
    <t>1. Hiển thị biểu mẫu điều kiện gồm đủ trường cấp 2.
2. Dropdown phụ thuộc nhau theo loại điều kiện.
3. Có nút hủy/lưu điều kiện.
4. Không cho tạo điều kiện thiếu trường bắt buộc.</t>
  </si>
  <si>
    <t>1. Bấm thêm điều kiện trong nhóm mở được biểu mẫu điều kiện cấp 2.
2. Biểu mẫu điều kiện có các trường Phân loại/Phân loại, Mã thiết bị/Thiết bị, Thông số/Thông số, Toán tử/Toán tử và Giá trị/Giá trị.
3. Các trường điều kiện hiển thị trên giao diện, người dùng có thể cấu hình điều kiện thay vì chỉ thấy trạng thái chưa có dữ liệu.</t>
  </si>
  <si>
    <t>RE-E2E-004-003</t>
  </si>
  <si>
    <t>Kiểm tra giới hạn số nhóm điều kiện và số điều kiện trong một nhóm.</t>
  </si>
  <si>
    <t>1. Mở biểu mẫu Tạo mới.
2. Bấm Thêm nhóm ĐK liên tiếp đến khi có 10 nhóm.
3. Thử bấm Thêm nhóm ĐK lần thứ 11.
4. Trong NHÓM 1, thêm lần lượt 5 điều kiện hợp lệ: Type Thiết bị &gt; LED light, Thiết bị ID Dimming-Light, Thông số Độ sáng hiện tại, Toán tử Bằng, Giá trị 10/20/30/40/50.
5. Thử thêm điều kiện thứ 6 trong NHÓM 1.
6. Quan sát thông báo/chặn thao tác.</t>
  </si>
  <si>
    <t>1. giao diện cho tạo tối đa 10 nhóm điều kiện.
2. Khi thêm nhóm thứ 11, giao diện không tạo thêm nhóm vượt giới hạn và hiển thị thông báo dễ hiểu nếu có.
3. Trong một nhóm, giao diện cho tạo tối đa 5 điều kiện hợp lệ.
4. Khi thêm điều kiện thứ 6 trong cùng nhóm, giao diện không tạo thêm điều kiện vượt giới hạn và hiển thị thông báo dễ hiểu nếu có.
5. Không crash/trắng trang; không tự lưu cấu hình rác khi chưa bấm Lưu kịch bản.</t>
  </si>
  <si>
    <t>Luồng đầu cuối - Cấu hình THEN/ELSE hành động</t>
  </si>
  <si>
    <t>RE-E2E-005-001</t>
  </si>
  <si>
    <t>Kiểm tra hành động blocks theo tài liệu PSD.</t>
  </si>
  <si>
    <t>1. Mở biểu mẫu tạo mới.
2. Quan sát HÀNH ĐỘNG (THEN) và HÀNH ĐỘNG KHÁC (ELSE).
3. Mở danh sách chọn Thực thi.</t>
  </si>
  <si>
    <t>1. Có đủ THEN và ELSE.
2. THEN bắt buộc tối thiểu 1 hành động khi bật/lưu hợp lệ.
3. ELSE có thể trống.
4. Execution chế độ có Tuần tự và Đồng thời.</t>
  </si>
  <si>
    <t>RE-E2E-005-002</t>
  </si>
  <si>
    <t>Kiểm tra thẻ hành động theo tài liệu PSD.</t>
  </si>
  <si>
    <t>1. Bấm biểu tượng thêm hành động trong THEN.
2. Chọn phân loại thiết bị.
3. Chọn thiết bị, hành động và tham số.
4. Quan sát thẻ hành động sau khi xác nhận.</t>
  </si>
  <si>
    <t>1. Thẻ hành động có Phân loại, Mã thiết bị, Hành động và tham số động.
2. Tham số brightness nằm trong dải 0-100.
3. Hành động hiển thị thành câu dễ đọc, không chỉ dữ liệu JSON.
4. Không gửi lệnh tới thiết bị trước khi lưu/kích hoạt.</t>
  </si>
  <si>
    <t>RE-E2E-005-003</t>
  </si>
  <si>
    <t>Kiểm tra boundary/hành động kiểm tra hợp lệ theo tài liệu PSD.</t>
  </si>
  <si>
    <t>1. Thêm hành động SET_BRIGHTNESS.
2. Nhập brightness 0, 100, 101, -1.
3. Quan sát kiểm tra hợp lệ.
4. Không lưu nếu dữ liệu lỗi.</t>
  </si>
  <si>
    <t>1. 0 và 100 hợp lệ theo giới hạn cấu hình.
2. 101 và -1 bị chặn hoặc báo lỗi.
3. Không gửi lệnh sai dải xuống thiết bị.
4. Thông báo lỗi chỉ rõ trường brightness.</t>
  </si>
  <si>
    <t>Luồng đầu cuối - Chế độ Mô tả/dữ liệu JSON</t>
  </si>
  <si>
    <t>RE-E2E-006-001</t>
  </si>
  <si>
    <t>Kiểm tra khả năng chuyển chế độ nhập kịch bản.</t>
  </si>
  <si>
    <t>1. Mở biểu mẫu tạo mới.
2. Bấm thẻ dữ liệu JSON.
3. Quan sát biểu mẫu không crash.
4. Quay về thẻ Mô tả.</t>
  </si>
  <si>
    <t>1. Có thể chuyển Mô tả/dữ liệu JSON.
2. giao diện không crash.
3. Dữ liệu đã nhập không mất khi chuyển chế độ.
4. dữ liệu JSON sai biểu mẫuat phải báo lỗi dễ hiểu khi người dùng nhập.</t>
  </si>
  <si>
    <t>RE-E2E-006-002</t>
  </si>
  <si>
    <t>Kiểm tra người dùng tạo kịch bản bằng cách nhập/paste dữ liệu JSON hợp lệ trong thẻ dữ liệu JSON.</t>
  </si>
  <si>
    <t>1. Mở biểu mẫu Tạo mới kịch bản.
2. Bấm thẻ dữ liệu JSON.
3. Paste dữ liệu JSON kịch bản hợp lệ gồm thông tin chung, điều kiện và hành động THEN.
4. Bấm kiểm tra/biểu mẫuat nếu giao diện có.
5. Bấm Lưu bản nháp.
6. Quay về danh sách và tìm kịch bản vừa tạo.</t>
  </si>
  <si>
    <t>1. dữ liệu JSON hợp lệ được parse thành công.
2. giao diện không báo lỗi syntax/cấu trúc dữ liệu.
3. Lưu bản nháp thành công sau khi người dùng bấm Lưu.
4. Kịch bản mới hiển thị trên danh sách với đúng tên, phân loại, trạng thái và điều kiện/hành động tóm tắt.
5. Không tự tạo kịch bản chỉ vì người dùng paste dữ liệu JSON nếu chưa bấm Lưu.</t>
  </si>
  <si>
    <t>RE-E2E-006-003</t>
  </si>
  <si>
    <t>Kiểm tra kiểm tra hợp lệ khi người dùng nhập dữ liệu JSON không parse được.</t>
  </si>
  <si>
    <t>1. Mở biểu mẫu Tạo mới.
2. Bấm thẻ dữ liệu JSON.
3. Paste nội dung dữ liệu JSON sai cú pháp, ví dụ thiếu dấu ngoặc đóng.
4. Bấm Lưu hoặc kiểm tra/biểu mẫuat nếu giao diện có.
5. Quan sát inline lỗi/thông báo.</t>
  </si>
  <si>
    <t>1. Không lưu kịch bản.
2. giao diện hiển thị lỗi dữ liệu JSON sai cú pháp bằng tiếng Việt, chỉ rõ vị trí hoặc nguyên nhân dễ hiểu.
3. Không crash biểu mẫu.
4. Không gửi dữ liệu sai sang kịch bản thực thi.</t>
  </si>
  <si>
    <t>RE-E2E-006-004</t>
  </si>
  <si>
    <t>Kiểm tra kiểm tra hợp lệ cấu trúc dữ liệu khi dữ liệu JSON đúng cú pháp nhưng thiếu dữ liệu nghiệp vụ.</t>
  </si>
  <si>
    <t>1. Mở biểu mẫu Tạo mới.
2. Bấm thẻ dữ liệu JSON.
3. Paste dữ liệu JSON đúng cú pháp nhưng thiếu name hoặc thiếu điều kiện/hành động bắt buộc.
4. Bấm Lưu.
5. Quan sát lỗi hiển thị.</t>
  </si>
  <si>
    <t>1. Không lưu kịch bản thiếu trường bắt buộc.
2. giao diện chỉ rõ thiếu Tên kịch bản, Điều kiện hoặc Hành động nào.
3. Không hiển thị thô hệ thống xử lý lỗi/lỗi kỹ thuật hệ thống.
4. Người dùng biết cần bổ sung trường nào trong dữ liệu JSON.</t>
  </si>
  <si>
    <t>RE-E2E-006-005</t>
  </si>
  <si>
    <t>Kiểm tra dữ liệu JSON hợp lệ render lại thành biểu mẫu mô tả để người dùng kiểm tra trước khi lưu.</t>
  </si>
  <si>
    <t>1. Mở biểu mẫu Tạo mới.
2. Bấm thẻ dữ liệu JSON.
3. Paste dữ liệu JSON kịch bản hợp lệ.
4. Chuyển về thẻ Mô tả.
5. Quan sát các section THÔNG TIN CHUNG, ĐIỀU KIỆN, THEN/ELSE.</t>
  </si>
  <si>
    <t>1. Thẻ Mô tả hiển thị lại đúng Tên, Mô tả, Phân loại, Độ ưu tiên, Trạng thái.
2. Nhóm điều kiện render đúng phân loại/thiết bị/trường/toán tử/giá trị.
3. Hành động THEN/ELSE render đúng thiết bị/hành động/tham số.
4. Không mất dữ liệu khi chuyển qua lại giữa dữ liệu JSON và Mô tả.</t>
  </si>
  <si>
    <t>RE-E2E-006-006</t>
  </si>
  <si>
    <t>Kiểm tra giao diện có vùng thao tác nhập/tải lên tệp dữ liệu JSON đúng vị trí.</t>
  </si>
  <si>
    <t>1. Mở biểu mẫu Tạo mới kịch bản.
2. Quan sát khu vực thẻ dữ liệu JSON.
3. Tìm nút Chọn tệp/Tải tệp/Nhập từ tệp/Nhập dữ liệu JSON.
4. Bấm thẻ dữ liệu JSON nếu vùng thao tác nằm trong chế độ dữ liệu JSON.
5. Quan sát hướng dẫn và định dạng tệp được hỗ trợ.</t>
  </si>
  <si>
    <t>1. giao diện có vùng thao tác thêm mới bằng tệp dữ liệu JSON nếu tính năng nằm trong phạm vi.
2. Vùng thao tác ghi rõ chỉ hỗ trợ tệp .json.
3. Có hướng dẫn ngắn gọn về cấu trúc tệp hoặc link tải mẫu.
4. Vùng thao tác không bị lẫn với thẻ dữ liệu JSON nhập tay.</t>
  </si>
  <si>
    <t>RE-E2E-006-007</t>
  </si>
  <si>
    <t>Kiểm tra tạo kịch bản từ tệp .json hợp lệ.</t>
  </si>
  <si>
    <t>1. Mở biểu mẫu Tạo mới.
2. Bấm chức năng Chọn tệp/Nhập từ tệp dữ liệu JSON.
3. Chọn tệp valid_kịch bản_draft.json có kịch bản hợp lệ.
4. Quan sát xem trước dữ liệu sau nhập.
5. Bấm Lưu.
6. Quay về danh sách kiểm tra kịch bản mới.</t>
  </si>
  <si>
    <t>1. giao diện đọc được tệp .json hợp lệ.
2. Hiển thị xem trước hoặc render dữ liệu vào biểu mẫu trước khi lưu.
3. Không tự lưu trước khi người dùng bấm Lưu.
4. Sau khi Lưu, kịch bản xuất hiện trên danh sách với đúng thông tin từ tệp.
5. Thông báo thành công bằng tiếng Việt.</t>
  </si>
  <si>
    <t>RE-E2E-006-008</t>
  </si>
  <si>
    <t>Kiểm tra kiểm tra hợp lệ khi người dùng chọn tệp sai định dạng.</t>
  </si>
  <si>
    <t>1. Mở chức năng nhập tệp dữ liệu JSON.
2. Chọn tệp .txt hoặc .xlsx.
3. Quan sát kiểm tra hợp lệ.
4. Không bấm Lưu nếu giao diện đã chặn tệp.</t>
  </si>
  <si>
    <t>1. giao diện không nhận tệp sai định dạng.
2. Hiển thị lỗi tiếng Việt: chỉ hỗ trợ tệp .json.
3. Không parse nội dung tệp sai định dạng.
4. Không tạo kịch bản mới.</t>
  </si>
  <si>
    <t>RE-E2E-006-009</t>
  </si>
  <si>
    <t>Kiểm tra kiểm tra hợp lệ tệp .json không có kịch bản hợp lệ.</t>
  </si>
  <si>
    <t>1. Mở chức năng nhập tệp dữ liệu JSON.
2. Chọn tệp empty.json hoặc invalid_cấu trúc dữ liệu.json.
3. Quan sát lỗi sau khi giao diện đọc tệp.
4. Đảm bảo biểu mẫu không bị ghi đè dữ liệu đang nhập nếu nhập lỗi.</t>
  </si>
  <si>
    <t>1. Không nhập tệp rỗng hoặc sai cấu trúc dữ liệu.
2. giao diện báo lỗi cụ thể: tệp rỗng, dữ liệu JSON sai cấu trúc, thiếu trường bắt buộc.
3. Dữ liệu biểu mẫu trước đó không bị mất nếu nhập thất bại.
4. Không tạo kịch bản mới.</t>
  </si>
  <si>
    <t>RE-E2E-006-010</t>
  </si>
  <si>
    <t>Kiểm tra edge case bảo vệ giao diện khi đọc tệp dữ liệu JSON.</t>
  </si>
  <si>
    <t>1. Mở chức năng nhập tệp dữ liệu JSON.
2. Chọn tệp dữ liệu JSON vượt dung lượng cho phép nếu có quy định.
3. Chọn tệp dữ liệu JSON có giá trị chứa &lt;script&gt;alert(1)&lt;/script&gt;.
4. Quan sát xem trước/thẻ sau nhập hoặc kiểm tra hợp lệ.</t>
  </si>
  <si>
    <t>1. File vượt dung lượng bị chặn với thông báo rõ.
2. Payload script không được thực thi trong xem trước/thẻ.
3. Nếu cho nhập text đặc biệt, giao diện phải escape an toàn.
4. Trang không crash hoặc treo khi đọc tệp lớn.</t>
  </si>
  <si>
    <t>Luồng đầu cuối - Dùng mẫu kịch bản</t>
  </si>
  <si>
    <t>RE-E2E-007-001</t>
  </si>
  <si>
    <t>Kiểm tra luồng Dùng mẫu theo tài liệu PSD/thiết kế Figma.</t>
  </si>
  <si>
    <t>1. Mở biểu mẫu tạo mới.
2. Bấm Dùng mẫu.
3. Quan sát cửa sổ chọn/danh sách mẫu kịch bản.
4. Không áp mẫu kịch bản nếu danh sách lỗi/rỗng.</t>
  </si>
  <si>
    <t>1. Mở cửa sổ chọn Tạo mới mẫu kịch bản/Danh sách kịch bản mẫu.
2. Có ô tìm theo tên kịch bản.
3. Có danh sách mẫu và vùng chi tiết mẫu.
4. Nếu không có mẫu active, giao diện hiển thị empty/lỗi dễ hiểu.</t>
  </si>
  <si>
    <t>RE-E2E-007-002</t>
  </si>
  <si>
    <t>Kiểm tra chọn mẫu kịch bản và áp vào kịch bản mới.</t>
  </si>
  <si>
    <t>1. Mở cửa sổ chọn Dùng mẫu.
2. Chọn một mẫu kịch bản active.
3. Bấm Dùng mẫu.
4. Quan sát điều kiện/hành động được đổ vào biểu mẫu.</t>
  </si>
  <si>
    <t>1. Modal đóng sau khi áp mẫu kịch bản.
2. Biểu mẫu được điền điều kiện/hành động từ mẫu.
3. Người dùng có thể chỉnh tên, thiết bị, tham số trước khi lưu.
4. Không tạo kịch bản ngay khi chỉ chọn mẫu kịch bản.</t>
  </si>
  <si>
    <t>Luồng đầu cuối - Lưu và bật kịch bản</t>
  </si>
  <si>
    <t>RE-E2E-008-001</t>
  </si>
  <si>
    <t>Kiểm tra luồng lưu draft đúng tài liệu PSD.</t>
  </si>
  <si>
    <t>1. Mở biểu mẫu tạo mới.
2. Nhập thông tin chung hợp lệ.
3. Cấu hình ít nhất 1 điều kiện và 1 THEN hành động hợp lệ.
4. Chọn Bản nháp.
5. Bấm Lưu.</t>
  </si>
  <si>
    <t>1. giao diện hiển thị thông báo/thông báo lưu thành công.
2. Quay về danh sách hoặc giữ biểu mẫu theo thiết kế.
3. Kịch bản mới xuất hiện trong bảng với trạng thái Bản nháp.
4. Dữ liệu test có thể dọn dữ liệu.</t>
  </si>
  <si>
    <t>RE-E2E-008-002</t>
  </si>
  <si>
    <t>Kiểm tra luồng tạo/lưu kịch bản ở trạng thái Đang bật.</t>
  </si>
  <si>
    <t>1. Nhập kịch bản hợp lệ đầy đủ.
2. Chọn Đang bật.
3. Bấm Lưu.
4. Quan sát bảng/monitoring.</t>
  </si>
  <si>
    <t>1. Kịch bản hợp lệ được enable.
2. Danh sách hiển thị trạng thái Đang bật.
3. Nếu conflict/kiểm tra hợp lệ fail, giao diện hiển thị lỗi rõ trước khi bật.
4. Không bật kịch bản thiếu điều kiện/hành động.</t>
  </si>
  <si>
    <t>RE-E2E-008-003</t>
  </si>
  <si>
    <t>Kiểm tra kiểm tra hợp lệ khi thiếu điều kiện/hành động.</t>
  </si>
  <si>
    <t>1. Mở biểu mẫu tạo mới.
2. Nhập tên/mô tả.
3. Không thêm điều kiện hoặc không thêm THEN hành động.
4. Chọn Đang bật.
5. Bấm Lưu.</t>
  </si>
  <si>
    <t>1. Không bật kịch bản.
2. giao diện hiển thị lỗi tại section thiếu dữ liệu.
3. Không tạo thực thi kịch bản lỗi.
4. Người dùng biết cần bổ sung điều kiện/hành động nào.</t>
  </si>
  <si>
    <t>Luồng đầu cuối - Giám sát và chi tiết</t>
  </si>
  <si>
    <t>RE-E2E-009-001</t>
  </si>
  <si>
    <t>Kiểm tra monitoring thẻ.</t>
  </si>
  <si>
    <t>1. Mở Kịch bản tự động.
2. Bấm thẻ Giám sát kịch bản.
3. Quan sát dữ liệu kịch bản active/thực thi.</t>
  </si>
  <si>
    <t>1. Thẻ Giám sát kịch bản mở được.
2. Hiển thị kịch bản active/thực thi trong ngày hoặc trạng thái chưa có dữ liệu hợp lý.
3. Dữ liệu không dữ liệu rỗng/sai.
4. Có thể theo dõi trạng thái thực thi.</t>
  </si>
  <si>
    <t>Luồng đầu cuối - Giám sát và chi tiết hoạt động</t>
  </si>
  <si>
    <t>RE-E2E-009-002</t>
  </si>
  <si>
    <t>Kiểm tra thao tác bấm tên kịch bản màu xanh để mở cửa sổ chi tiết/panel chi tiết hoạt động của kịch bản.</t>
  </si>
  <si>
    <t>1. Mở thẻ Kịch bản configuration/Kịch bản cấu hình.
2. Bấm vào tên kịch bản màu xanh trong bảng.
3. Quan sát cửa sổ chi tiết/panel Kịch bản chi tiếts/Chi tiết kịch bản.
4. Kiểm tra khu vực Luồng thực thi/Luồng thực thi.
5. Không bấm Sửa/Xóa/Kích hoạt.</t>
  </si>
  <si>
    <t>1. Bấm tên kịch bản màu xanh mở được cửa sổ chi tiết/panel hoạt động.
2. Cửa sổ chi tiết hiển thị đúng tên kịch bản vừa bấm.
3. Có khu vực Luồng thực thi/Luồng thực thi.
4. Có phần Điều kiện, Hành động và Hành động khác hoặc timeline/history nếu có.
5. Không kích hoạt/sửa/xóa kịch bản khi chỉ bấm tên.</t>
  </si>
  <si>
    <t>RE-E2E-009-003</t>
  </si>
  <si>
    <t>Kiểm tra thiết kế xem hoạt động thông qua tên kịch bản màu xanh thay vì cột Hành động.</t>
  </si>
  <si>
    <t>1. Mở thẻ Kịch bản configuration/Kịch bản cấu hình.
2. Quan sát tên kịch bản màu xanh trong bảng.
3. Bấm vào tên kịch bản.
4. Quan sát cửa sổ chi tiết/panel Kịch bản chi tiếts và Luồng thực thi.</t>
  </si>
  <si>
    <t>1. Tên kịch bản màu xanh là điểm thao tác xem hoạt động.
2. Bấm tên mở đúng cửa sổ chi tiết/panel hoạt động.
3. Cột Hành động chỉ cần chứa các hành động thao tác trực tiếp như Sửa/Xóa/Edit/Tắt nếu có.
4. Không bắt buộc có nút Xem chi tiết trong cột Hành động.</t>
  </si>
  <si>
    <t>RE-E2E-009-004</t>
  </si>
  <si>
    <t>Kiểm tra phần thông tin tóm tắt hiển thị kèm trong cửa sổ chi tiết hoạt động.</t>
  </si>
  <si>
    <t>1. Bấm tên kịch bản màu xanh để mở cửa sổ chi tiết hoạt động.
2. Đối chiếu tên, ưu tiên, ngày tạo, phân loại, mô tả, số lần lặp lại với dòng danh sách.
3. Kiểm tra không có dữ liệu rỗng/sai.</t>
  </si>
  <si>
    <t>1. Cửa sổ chi tiết hoạt động hiển thị đúng tên kịch bản vừa bấm.
2. Độ ưu tiên/Ngày tạo/Phân loại/Mô tả/Lặp lạied map được từ dữ liệu kịch bản.
3. Ngày tạo không được là '-' nếu danh sách đang có ngày tạo.
4. Không hiển thị dữ liệu rỗng/sai.</t>
  </si>
  <si>
    <t>Cần phê duyệt tạo dữ liệu UI trước khi chạy.</t>
  </si>
  <si>
    <t>RE-E2E-009-005</t>
  </si>
  <si>
    <t>Kiểm tra vùng luồng thực thi của cửa sổ chi tiết hoạt động.</t>
  </si>
  <si>
    <t>1. Bấm tên kịch bản màu xanh để mở cửa sổ chi tiết hoạt động.
2. Quan sát khu vực Luồng thực thi/Luồng thực thi.
3. Kiểm tra Điều kiện, Hành động và Hành động khác.
4. Đối chiếu thiết bị/hành động/tham số chính.</t>
  </si>
  <si>
    <t>1. Cửa sổ chi tiết hiển thị Luồng thực thi/Luồng thực thi.
2. Điều kiện hiển thị điều kiện của kịch bản hoặc trạng thái chưa có dữ liệu rõ ràng nếu kịch bản draft chưa có điều kiện.
3. Hành động hiển thị thiết bị, hành động và tham số chính hoặc trạng thái chưa có dữ liệu rõ ràng nếu chưa có hành động.
4. Hành động khác hiển thị dữ liệu hoặc trạng thái chưa có dữ liệu rõ ràng.</t>
  </si>
  <si>
    <t>RE-E2E-009-006</t>
  </si>
  <si>
    <t>Kiểm tra các nút thao tác trong cửa sổ chi tiết có đúng trạng thái kịch bản.</t>
  </si>
  <si>
    <t>1. Mở cửa sổ chi tiết Kịch bản chi tiếts của một kịch bản Đang bật.
2. Quan sát các nút thao tác cuối cửa sổ chi tiết.
3. Không bấm nút điều khiển nếu chưa cần thay đổi trạng thái.</t>
  </si>
  <si>
    <t>1. Cửa sổ chi tiết chỉ hiển thị những hành động hợp lệ với trạng thái hiện tại.
2. Không hiển thị đồng thời các hành động thực thi gây hiểu nhầm như Pause/Resume nếu không có execution tương ứng.
3. Có nút đóng cửa sổ chi tiết rõ ràng.</t>
  </si>
  <si>
    <t>Luồng đầu cuối - Conflict và override</t>
  </si>
  <si>
    <t>RE-E2E-010-001</t>
  </si>
  <si>
    <t>Kiểm tra cửa sổ chi tiết conflict theo tài liệu PSD.</t>
  </si>
  <si>
    <t>Môi trường test có thiết bị/EdgeX hoặc dữ liệu giả lập thực thi được phép điều khiển; dữ liệu thiết bị không ảnh hưởng vận hành thật; có kế hoạch khôi phục dữ liệu trạng thái.</t>
  </si>
  <si>
    <t>1. Chuẩn bị kịch bản A đang/sắp điều khiển Dimming-Light.
2. Tạo kịch bản B điều khiển cùng thiết bị/cùng thời điểm với hành động khác.
3. Bấm bật/kích hoạt kịch bản B.
4. Quan sát conflict cửa sổ chi tiết.</t>
  </si>
  <si>
    <t>1. giao diện hiển thị cửa sổ chi tiết Xung đột kịch bản/Cảnh báo xung đột kịch bản.
2. Cửa sổ chi tiết liệt kê kịch bản xung đột, trạng thái, hành động xung đột.
3. Có nút Hủy và Ghi đè và kích hoạt.
4. Không tự ghi đè nếu người dùng chưa xác nhận.</t>
  </si>
  <si>
    <t>RE-E2E-010-002</t>
  </si>
  <si>
    <t>Kiểm tra ưu tiên kịch bản theo tài liệu PSD.</t>
  </si>
  <si>
    <t>1. Chuẩn bị kịch bản độ ưu tiên thấp đang điều khiển thiết bị.
2. Chuẩn bị kịch bản độ ưu tiên cao/Emergency xung đột.
3. Bấm Ghi đè và kích hoạt.
4. Quan sát trạng thái sau override.</t>
  </si>
  <si>
    <t>1. Kịch bản ưu tiên cao được phép override theo policy.
2. Kịch bản cũ bị dừng/tắt/tạm dừng theo logic hệ thống.
3. giao diện hiển thị rõ kịch bản nào bị ghi đè và lý do.
4. Không báo thành công giả nếu override thất bại.</t>
  </si>
  <si>
    <t>Luồng đầu cuối - Thiết bị thực tế Smart Pole</t>
  </si>
  <si>
    <t>RE-E2E-011-001</t>
  </si>
  <si>
    <t>Kiểm tra Luồng đầu cuối trường luồng theo demo Smart Pole.</t>
  </si>
  <si>
    <t>1. Chuẩn bị camera/sensor event count hoặc dữ liệu giả lập EdgeX.
2. Tạo kịch bản dimming theo count/time window.
3. Kích hoạt event count 0, 1-2, 3-5, &gt;5.
4. Quan sát Dimming-Light và trạng thái thực thi trên giao diện.</t>
  </si>
  <si>
    <t>1. Count 0 giữ/default 30%.
2. Count 1-2 set 60%.
3. Count 3-5 set 80%.
4. Count &gt;5 hoặc đối tượng đặc biệt set 100%.
5. Khi hết lưu lượng, giữ 2 phút rồi về 30%.
6. giao diện ghi nhận ô nhập count và hành động brightness ở khu vực monitoring/thực thi.</t>
  </si>
  <si>
    <t>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t>
  </si>
  <si>
    <t>RE-E2E-011-002</t>
  </si>
  <si>
    <t>Kiểm tra màn hình LED/multimedia theo demo.</t>
  </si>
  <si>
    <t>1. Chuẩn bị camera nhận diện nhân viên.
2. Đẩy event nhân viên vào cổng.
3. Quan sát màn hình ngoài.
4. Đợi 30 giây.</t>
  </si>
  <si>
    <t>1. Màn hình ngoài hiển thị chào mừng đúng người nếu nhận diện match.
2. Người không match hiển thị chào mừng chung.
3. Sau 30 giây quay về nội dung mặc định.
4. Không ảnh hưởng màn hình trong đang hiển thị dashboard.</t>
  </si>
  <si>
    <t>Action: Màn hình LED: 30 giây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t>
  </si>
  <si>
    <t>RE-E2E-011-003</t>
  </si>
  <si>
    <t>Kiểm tra kịch bản tự động xử lý thiết bị lỗi.</t>
  </si>
  <si>
    <t>1. Chọn/mô phỏng LED hoặc multimedia offline.
2. Kích hoạt kịch bản điều khiển thiết bị đó.
3. Quan sát giao diện monitoring/thực thi.</t>
  </si>
  <si>
    <t>1. Hành động không báo thành công nếu thiết bị offline.
2. giao diện/log thực thi nêu rõ thiết bị không phản hồi.
3. Kịch bản có retry/khôi phục dữ liệu theo policy.
4. Không làm hỏng các kịch bản khác.</t>
  </si>
  <si>
    <t>1. Dữ liệu giả lập thực thi Thất bại với lỗi thiết bị offline/không phản hồi.
2. Mong đợi giao diện phải hiển thị lỗi dễ hiểu, không báo thành công giả.
3. Case này cover được ở mức giao diện dữ liệu giả lập; trường test vẫn cần thiết bị offline thật để xác nhận retry/khôi phục dữ liệu.</t>
  </si>
  <si>
    <t>Tích hợp - Danh sách và Biểu mẫu tạo mới</t>
  </si>
  <si>
    <t>RE-INT-LIST-FORM-001-001</t>
  </si>
  <si>
    <t>Kiểm tra liên kết từ danh sách sang biểu mẫu tạo mới không mất context module.</t>
  </si>
  <si>
    <t>Người dùng đã đăng nhập hệ thống Smart Pole; có quyền quản lý Kịch bản tự động; đang ở môi trường môi trường phát triển; dữ liệu test dùng prefix AUTO_giao diện_INT_CODEX và có thể dọn dữ liệu sau test.</t>
  </si>
  <si>
    <t>1. Mở trang Kịch bản tự động.
2. Bấm Thêm mới từ danh sách.
3. Quan sát breadcrumb/tiêu đề và các section biểu mẫu.
4. Bấm Xóa thay đổi hoặc quay lại danh sách nếu có.</t>
  </si>
  <si>
    <t>1. Biểu mẫu tạo mới mở đúng trong module Kịch bản tự động.
2. Breadcrumb/tiêu đề thể hiện Tạo mới kịch bản.
3. Có đủ THÔNG TIN CHUNG, CHI TIẾT KỊCH BẢN, ĐIỀU KIỆN, THEN, ELSE.
4. Không tạo dữ liệu khi chỉ điều hướng.</t>
  </si>
  <si>
    <t>RE-INT-LIST-FORM-001-002</t>
  </si>
  <si>
    <t>Kiểm tra biểu mẫu tạo mới lưu bản nháp và dữ liệu xuất hiện lại ở danh sách.</t>
  </si>
  <si>
    <t>1. Mở biểu mẫu tạo mới.
2. Nhập Tên/Mô tả hợp lệ.
3. Cấu hình ít nhất 1 điều kiện hợp lệ và 1 hành động THEN hợp lệ.
4. Chọn Bản nháp.
5. Bấm Lưu.
6. Quay về danh sách và tìm kiếm tên vừa tạo.
7. Xóa dữ liệu test nếu có nút xóa.</t>
  </si>
  <si>
    <t>1. giao diện lưu thành công bản nháp.
2. Kịch bản mới xuất hiện trên Danh sách với đúng Tên, Phân loại, Trạng thái Bản nháp, Độ ưu tiên.
3. Không tạo kịch bản trùng tên.
4. Dữ liệu test dọn dữ liệu được.</t>
  </si>
  <si>
    <t>Tích hợp - Biểu mẫu, Điều kiện, Hành động và dữ liệu JSON</t>
  </si>
  <si>
    <t>RE-INT-FORM-FLOW-002-001</t>
  </si>
  <si>
    <t>Kiểm tra cấu hình ở chế độ Mô tả được phản ánh sang chế độ dữ liệu JSON.</t>
  </si>
  <si>
    <t>1. Mở biểu mẫu tạo mới.
2. Thêm NHÓM 1 và tạo 1 điều kiện hợp lệ.
3. Thêm hành động THEN Đèn LED &gt; Dimming-Light.
4. Nhập tham số hành động hợp lệ.
5. Bấm thẻ dữ liệu JSON.
6. Đối chiếu dữ liệu JSON có đủ điều kiện/hành động vừa nhập.</t>
  </si>
  <si>
    <t>1. dữ liệu JSON hiển thị cấu trúc kịch bản hợp lệ.
2. Điều kiện trong dữ liệu JSON khớp trường giao diện.
3. Hành động trong dữ liệu JSON khớp thiết bị/hành động/tham số giao diện.
4. Không mất dữ liệu khi chuyển chế độ.</t>
  </si>
  <si>
    <t>RE-INT-FORM-FLOW-002-002</t>
  </si>
  <si>
    <t>Kiểm tra nhập dữ liệu JSON hợp lệ thì giao diện mô tả render lại đúng điều kiện/hành động.</t>
  </si>
  <si>
    <t>1. Mở biểu mẫu tạo mới.
2. Bấm thẻ dữ liệu JSON.
3. Nhập dữ liệu JSON kịch bản hợp lệ gồm 1 điều kiện và 1 hành động LED.
4. Chuyển về thẻ Mô tả.
5. Quan sát các block điều kiện/hành động trên giao diện.</t>
  </si>
  <si>
    <t>1. dữ liệu JSON hợp lệ không báo lỗi.
2. Thẻ Mô tả render đúng NHÓM điều kiện.
3. THEN hiển thị đúng Đèn LED, Dimming-Light và tham số.
4. Không tạo/lưu kịch bản nếu chưa bấm Lưu.</t>
  </si>
  <si>
    <t>Tích hợp - Mẫu kịch bản và Biểu mẫu</t>
  </si>
  <si>
    <t>RE-INT-TEMPLATE-003-001</t>
  </si>
  <si>
    <t>Kiểm tra danh sách mẫu kịch bản từ cửa sổ chọn có thể chọn và hiển thị chi tiết.</t>
  </si>
  <si>
    <t>1. Mở biểu mẫu tạo mới.
2. Bấm Dùng mẫu.
3. Quan sát cửa sổ chọn Mẫu kịch bản.
4. Chọn một mẫu kịch bản trong danh sách.
5. Quan sát vùng chi tiết hoặc xem trước mẫu kịch bản.</t>
  </si>
  <si>
    <t>1. Modal mở đúng.
2. Danh sách mẫu kịch bản tải xong.
3. Chọn mẫu kịch bản thì giao diện highlight item và hiển thị chi tiết.
4. Button Dùng mẫu trong cửa sổ chọn enable khi đã chọn.</t>
  </si>
  <si>
    <t>RE-INT-TEMPLATE-003-002</t>
  </si>
  <si>
    <t>Kiểm tra mẫu kịch bản đổ dữ liệu điều kiện/hành động vào biểu mẫu nhưng chưa tự lưu kịch bản.</t>
  </si>
  <si>
    <t>1. Mở cửa sổ chọn Dùng mẫu.
2. Chọn một mẫu kịch bản active.
3. Bấm Dùng mẫu trong cửa sổ chọn.
4. Quan sát biểu mẫu sau khi cửa sổ chọn đóng.
5. Đối chiếu Tên/Mô tả/Điều kiện/Hành động được đổ đúng.</t>
  </si>
  <si>
    <t>1. Modal đóng sau khi áp mẫu kịch bản.
2. Biểu mẫu nhận dữ liệu mẫu kịch bản: thông tin chung, điều kiện, THEN/ELSE nếu có.
3. Người dùng có thể chỉnh sửa trước khi Lưu.
4. Không tạo kịch bản ngay khi chỉ áp mẫu kịch bản.</t>
  </si>
  <si>
    <t>Tích hợp - Danh sách hành động Sửa/Xóa</t>
  </si>
  <si>
    <t>RE-INT-EDIT-004-001</t>
  </si>
  <si>
    <t>Kiểm tra hành động Sửa mở biểu mẫu edit và dữ liệu cập nhật quay lại danh sách.</t>
  </si>
  <si>
    <t>1. Trên Danh sách, chọn một kịch bản test có thể sửa.
2. Bấm biểu tượng Sửa.
3. Thay đổi Mô tả hoặc Độ ưu tiên.
4. Bấm Lưu.
5. Quay lại Danh sách và tìm kiếm kịch bản đó.
6. Đối chiếu dữ liệu cập nhật.</t>
  </si>
  <si>
    <t>1. Icon Sửa mở đúng biểu mẫu edit.
2. Biểu mẫu load dữ liệu kịch bản cũ.
3. Sau Lưu, Danh sách cập nhật Cập nhật gần nhất và trường đã sửa.
4. Không ảnh hưởng kịch bản khác.</t>
  </si>
  <si>
    <t>RE-INT-EDIT-004-002</t>
  </si>
  <si>
    <t>Kiểm tra hành động Xóa có confirm, xóa kịch bản test và Danh sách không còn kịch bản đó.</t>
  </si>
  <si>
    <t>1. Tạo hoặc chọn kịch bản test prefix AUTO_giao diện_INT_CODEX.
2. Bấm biểu tượng Xóa ở dòng kịch bản test.
3. Quan sát confirm cửa sổ chọn.
4. Bấm Hủy và xác nhận kịch bản vẫn còn.
5. Bấm Xóa lại và xác nhận.
6. Tìm kiếm lại tên kịch bản.</t>
  </si>
  <si>
    <t>1. Xóa có confirm rõ ràng.
2. Hủy không xóa dữ liệu.
3. Xác nhận xóa thì kịch bản biến mất khỏi Danh sách.
4. Không xóa nhầm kịch bản khác.</t>
  </si>
  <si>
    <t>Tích hợp - Active kịch bản và Giám sát</t>
  </si>
  <si>
    <t>RE-INT-RUNTIME-005-001</t>
  </si>
  <si>
    <t>Kiểm tra kịch bản active hiển thị/ảnh hưởng dữ liệu ở thẻ Giám sát kịch bản.</t>
  </si>
  <si>
    <t>1. Tạo kịch bản hợp lệ với điều kiện/hành động an toàn.
2. Chọn Đang bật và Lưu.
3. Mở thẻ Giám sát kịch bản.
4. Quan sát kịch bản active/thực thi thẻ hoặc bảng.
5. Đối chiếu trạng thái, số lần thực hiện, lỗi nếu có.</t>
  </si>
  <si>
    <t>1. Kịch bản active xuất hiện ở Giám sát.
2. Không hiển thị dữ liệu rỗng/sai.
3. Thực thi trạng thái rõ: đang chạy/thành công/lỗi/đang chờ.
4. Nếu chưa có trigger, giao diện hiển thị chờ/trạng thái chưa có dữ liệu hợp lý.</t>
  </si>
  <si>
    <t>Tích hợp - Conflict kịch bản và ưu tiên</t>
  </si>
  <si>
    <t>RE-INT-CONFLICT-006-001</t>
  </si>
  <si>
    <t>Kiểm tra hệ thống phát hiện kịch bản trùng thiết bị/thời điểm/hành động.</t>
  </si>
  <si>
    <t>1. Tạo kịch bản A điều khiển Dimming-Light trong time window test.
2. Tạo kịch bản B cùng thiết bị/time window với hành động khác.
3. Bật kịch bản B.
4. Quan sát cửa sổ chi tiết conflict.
5. Bấm Hủy.</t>
  </si>
  <si>
    <t>1. giao diện hiển thị cửa sổ chi tiết xung đột.
2. Cửa sổ chi tiết liệt kê kịch bản A/B, thiết bị, hành động và thời gian xung đột.
3. Bấm Hủy không bật kịch bản B.
4. Không thay đổi trạng thái kịch bản A.</t>
  </si>
  <si>
    <t>RE-INT-CONFLICT-006-002</t>
  </si>
  <si>
    <t>Kiểm tra kịch bản ưu tiên cao ghi đè kịch bản ưu tiên thấp và phản ánh lên Giám sát.</t>
  </si>
  <si>
    <t>1. Chuẩn bị kịch bản A độ ưu tiên Trung bình đang active.
2. Tạo kịch bản B độ ưu tiên Cao/Khẩn cấp xung đột kịch bản A.
3. Bấm Ghi đè và kích hoạt.
4. Mở Giám sát.
5. Đối chiếu trạng thái kịch bản A/B.</t>
  </si>
  <si>
    <t>1. Kịch bản B được active nếu override hợp lệ.
2. Kịch bản A bị dừng/tắt/tạm dừng theo policy.
3. Giám sát thể hiện trạng thái mới.
4. Không báo thành công giả nếu override thất bại.</t>
  </si>
  <si>
    <t>Tích hợp - Kịch bản tự động và thiết bị Smart Pole</t>
  </si>
  <si>
    <t>RE-INT-DEVICE-007-001</t>
  </si>
  <si>
    <t>Kiểm tra hành động LED cấu hình từ Kịch bản tự động không gửi lệnh trước khi lưu/kích hoạt và chỉ tác động khi kịch bản active.</t>
  </si>
  <si>
    <t>1. Mở biểu mẫu tạo kịch bản.
2. Thêm hành động THEN Đèn LED &gt; Dimming-Light.
3. Nhập Cường độ hợp lệ.
4. Không bấm Lưu/kích hoạt.
5. Quan sát thiết bị/môi trường phát triển giao diện nếu có.
6. Sau đó chạy trong môi trường cho phép active kịch bản và kiểm tra tác động.</t>
  </si>
  <si>
    <t>1. Trong biểu mẫu, chọn thiết bị/hành động/tham số không tự gửi lệnh xuống thiết bị.
2. Khi kịch bản active và điều kiện match, thiết bị mới nhận hành động.
3. giao diện hiển thị trạng thái/hành động rõ ràng.
4. Không báo thành công giả nếu thiết bị không phản hồi.</t>
  </si>
  <si>
    <t>RE-INT-DEVICE-007-002</t>
  </si>
  <si>
    <t>Kiểm tra event camera/multimedia đi qua Kịch bản tự động và phản ánh giao diện thiết bị liên quan.</t>
  </si>
  <si>
    <t>1. Chuẩn bị camera event hoặc dữ liệu giả lập event nhận diện.
2. Tạo kịch bản có điều kiện camera/person event.
3. Thêm hành động multimedia/màn hình LED.
4. Kích hoạt event.
5. Quan sát Kịch bản tự động, Multimedia giao diện và thiết bị/màn hình.</t>
  </si>
  <si>
    <t>1. Kịch bản chỉ chạy khi event match.
2. Multimedia giao diện/màn hình hiển thị đúng nội dung.
3. Sau timeout quay về default theo tài liệu PSD.
4. Giám sát ghi nhận trạng thái execution nếu có.</t>
  </si>
  <si>
    <t>Ma trận điều kiện - Thời gian áp dụng</t>
  </si>
  <si>
    <t>RE-COND-MATRIX-001-001</t>
  </si>
  <si>
    <t>Kiểm tra các chế độ thời gian áp dụng theo tài liệu phân loại.</t>
  </si>
  <si>
    <t>Người dùng đã đăng nhập hệ thống Smart Pole; mở biểu mẫu Tạo mới kịch bản; có quyền cấu hình Kịch bản tự động; dữ liệu thiết bị/dữ liệu giả lập theo từng phân nhóm đã sẵn sàng nếu cần chọn Mã thiết bị.</t>
  </si>
  <si>
    <t>1. Mở biểu mẫu tạo mới kịch bản.
2. Quan sát khu vực thời gian áp dụng hoặc trigger thời gian.
3. Chọn lần lượt Không giới hạn, Hàng tuần, Hàng tháng, Hàng năm, Custom nếu giao diện có.
4. Nhập khoảng giờ/ngày tương ứng.
5. Quan sát kiểm tra hợp lệ khi thiếu ngày/giờ hoặc thời gian bắt đầu lớn hơn kết thúc.</t>
  </si>
  <si>
    <t>1. Mọi kịch bản đều có thể cấu hình thời gian áp dụng.
2. Hỗ trợ các chế độ ALWAYS, WEEKLY, MONTHLY, YEARLY, CUSTOM hoặc nhãn tiếng Việt tương ứng.
3. giao diện bắt buộc nhập đủ ngày/giờ theo từng chế độ.
4. Không cho lưu khoảng thời gian sai logic hoặc thiếu dữ liệu bắt buộc.
5. Mong đợi hiển thị dễ hiểu, không yêu cầu người dùng đọc dữ liệu JSON.</t>
  </si>
  <si>
    <t>Ma trận điều kiện - Đèn LED</t>
  </si>
  <si>
    <t>RE-COND-MATRIX-002-001</t>
  </si>
  <si>
    <t>Kiểm tra Đèn LED có đủ thông số, kiểu dữ liệu và toán tử phù hợp.</t>
  </si>
  <si>
    <t>1. Thêm nhóm điều kiện.
2. Chọn phân loại điều kiện Đèn LED.
3. Chọn Mã thiết bị LED.
4. Kiểm tra thông số Độ sáng hiện tại, Công suất tiêu thụ, Trạng thái thiết bị.
5. Nhập giá trị hợp lệ và giá trị sai kiểu cho từng thông số.
6. Lưu điều kiện và quan sát thẻ điều kiện.</t>
  </si>
  <si>
    <t>1. Độ sáng hiện tại nhận số đơn vị %.
2. Công suất tiêu thụ nhận số đơn vị W.
3. Trạng thái thiết bị nhận Đúng/Sai hoặc Bật/Tắt.
4. Thông số số hỗ trợ toán tử so sánh phù hợp như =, &gt;, &gt;=, &lt;, &lt;=, !=, Trong khoảng.
5. Thông số đúng/sai chỉ cho toán tử/giá trị phù hợp, không cho nhập text tự do.
6. Thẻ điều kiện hiển thị câu dễ hiểu gồm thiết bị, thông số, toán tử, giá trị.</t>
  </si>
  <si>
    <t>Ma trận điều kiện - Camera AI</t>
  </si>
  <si>
    <t>RE-COND-MATRIX-003-001</t>
  </si>
  <si>
    <t>Kiểm tra nhóm Camera AI có đủ điều kiện người/xe/sự kiện an ninh.</t>
  </si>
  <si>
    <t>1. Thêm điều kiện mới.
2. Chọn phân loại Camera AI.
3. Chọn Mã thiết bị camera.
4. Kiểm tra các thông số: Phát hiện đám đông, Đếm đối tượng, Phát hiện té ngã/xâm nhập, Đếm xe, Vượt đèn đỏ, Đi sai chiều, Nhận diện biển số, Nhận diện khuôn mặt, Trạng thái thiết bị.
5. Nhập thử số, đúng/sai, chuỗi theo từng thông số.
6. Lưu điều kiện và quan sát nội dung hiển thị.</t>
  </si>
  <si>
    <t>1. Số dùng cho đếm người/đối tượng/xe và cho phép so sánh ngưỡng.
2. Đúng/Sai dùng cho té ngã/xâm nhập/vượt đèn đỏ/sai chiều/trạng thái.
3. Chuỗi dùng cho biển số xe và khuôn mặt; không bắt nhập số cho trường chuỗi.
4. giao diện không lẫn điều kiện camera với hành động camera.
5. Thẻ điều kiện hiển thị đúng loại sự kiện và giá trị.</t>
  </si>
  <si>
    <t>Action: Camera AI: 30 giây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t>
  </si>
  <si>
    <t>Ma trận điều kiện - Môi trường</t>
  </si>
  <si>
    <t>RE-COND-MATRIX-008-002</t>
  </si>
  <si>
    <t>Kiểm tra luồng môi trường kết hợp camera theo tài liệu PSD: nhiệt độ cao và có người thì phát cảnh báo.</t>
  </si>
  <si>
    <t>1. Tạo kịch bản phân loại Smart Environment.
2. Thêm nhóm điều kiện 1.
3. Thêm điều kiện 1: Cảm biến môi trường &gt; Nhiệt độ &gt; 34°C.
4. Thêm điều kiện 2: Camera AI &gt; Đếm đối tượng &gt; 0.
5. Chọn logic trong nhóm là VÀ/AND.
6. Thêm THEN hành động: Loa phát cảnh báo nắng nóng hoặc màn hình LED hiển thị cảnh báo.
7. Lưu bản nháp/kích hoạt trong môi trường dữ liệu giả lập.
8. Kích hoạt dữ liệu giả lập event: trong ngưỡng, bằng ngưỡng, vượt ngưỡng, có người và không có người.</t>
  </si>
  <si>
    <t>1. Nếu nhiệt độ &gt; 34°C và có người trong khu vực, kịch bản chạy nhánh THEN.
2. Nếu nhiệt độ &lt;= 34°C hoặc không có người, kịch bản không phát cảnh báo gây nhiễu.
3. giao diện monitoring hiển thị rõ từng điều kiện đạt/không đạt.
4. Không báo thành công nếu hành động loa/màn hình lỗi.
5. Thẻ điều kiện/hành động đọc được đúng ngưỡng 34°C và số người &gt; 0.</t>
  </si>
  <si>
    <t>1. giao diện hiển thị luồng môi trường theo dữ liệu test: Nhiệt độ &gt; 34°C AND Camera AI đếm đối tượng &gt; 0.
2. Giám sát/kịch bản chi tiết thể hiện đúng nhánh THEN khi đủ điều kiện và không chạy cảnh báo khi thiếu một điều kiện.
3. Không ghi nhận crash/trắng trang hoặc dữ liệu dữ liệu rỗng/sai.</t>
  </si>
  <si>
    <t>Action: Môi trường: 300 giây | 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t>
  </si>
  <si>
    <t>RE-COND-MATRIX-008-003</t>
  </si>
  <si>
    <t>Kiểm tra luồng PM2.5/PM10/AQI vượt ngưỡng theo tài liệu PSD.</t>
  </si>
  <si>
    <t>1. Tạo kịch bản Smart Environment hoặc Emergency Response theo tài liệu PSD.
2. Thêm nhóm điều kiện OR/HOẶC.
3. Thêm điều kiện PM2.5 &gt;= 100 hoặc theo ngưỡng tài liệu PSD.
4. Thêm điều kiện PM10 &gt;= 100 hoặc theo ngưỡng tài liệu PSD.
5. Thêm điều kiện AQI &gt;= ngưỡng cảnh báo.
6. Thêm THEN hành động: màn hình LED/loa phát thông tin môi trường.
7. Kích hoạt dữ liệu giả lập event: chỉ PM2.5 vượt, chỉ PM10 vượt, AQI vượt, tất cả dưới ngưỡng.</t>
  </si>
  <si>
    <t>1. Chỉ cần một điều kiện trong nhóm OR đạt thì kịch bản kích hoạt cảnh báo môi trường.
2. Khi tất cả chỉ số dưới ngưỡng, kịch bản không phát cảnh báo.
3. giao diện hiển thị đúng đơn vị PM µg/m³ hoặc ppm và AQI.
4. Giám sát thể hiện rõ điều kiện nào làm kịch bản được kích hoạt.
5. Không nhầm đơn vị/không làm tròn sai giá trị môi trường.</t>
  </si>
  <si>
    <t>1. giao diện hiển thị luồng cảnh báo chất lượng không khí theo dữ liệu test.
2. Nhóm OR hoạt động đúng: một chỉ số vượt ngưỡng đủ để kích hoạt THEN; tất cả dưới ngưỡng thì không kích hoạt.
3. Thực tế hiển thị rõ chỉ số, ngưỡng và đơn vị.</t>
  </si>
  <si>
    <t>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t>
  </si>
  <si>
    <t>RE-COND-MATRIX-008-004</t>
  </si>
  <si>
    <t>Kiểm tra edge case nhập sai kiểu/biên giá trị cho cảm biến môi trường.</t>
  </si>
  <si>
    <t>1. Tạo điều kiện Nhiệt độ với giá trị âm hợp lệ nếu tài liệu PSD cho phép đo nhiệt độ ngoài trời.
2. Tạo điều kiện AQI = 0, AQI = 500 và AQI &lt; 0.
3. Tạo điều kiện Độ ẩm = 0%, 100%, 101%, -1%.
4. Tạo điều kiện PM2.5/PM10 với số thập phân.
5. Thử nhập text vào trường số.
6. Quan sát kiểm tra hợp lệ và thẻ điều kiện sau khi lưu.</t>
  </si>
  <si>
    <t>1. Nhiệt độ cho phép giá trị âm nếu thông số thực tế hỗ trợ.
2. Độ ẩm chỉ hợp lệ trong khoảng 0-100%.
3. AQI không được âm; ngưỡng max theo tài liệu PSD/hệ thống phải được validate.
4. PM2.5/PM10 cho phép số thập phân nếu cảm biến trả số lẻ.
5. Text nhập vào trường số bị chặn hoặc báo lỗi rõ.
6. Không tạo thẻ điều kiện sai dữ liệu; thông báo lỗi nói rõ trường bị sai.</t>
  </si>
  <si>
    <t>1. giao diện validate dữ liệu môi trường theo kiểu và ngưỡng từng chỉ số.
2. Các giá trị hợp lệ được lưu và hiển thị đúng đơn vị; các giá trị sai kiểu/ngoài biên bị chặn hoặc báo lỗi rõ.
3. Không hiển thị lỗi kỹ thuật hệ thống/lỗi kỹ thuật thô.</t>
  </si>
  <si>
    <t>Action  Môi trường: 300 giây</t>
  </si>
  <si>
    <t>Toán tử điều kiện - Số</t>
  </si>
  <si>
    <t>RE-COND-OP-001-001</t>
  </si>
  <si>
    <t>Kiểm tra điều kiện số dùng toán tử bằng.</t>
  </si>
  <si>
    <t>Người dùng đã đăng nhập hệ thống Smart Pole; mở biểu mẫu Tạo mới kịch bản; đã thêm Nhóm điều kiện; có thể bấm Thêm điều kiện; dữ liệu thiết bị test/dữ liệu giả lập sẵn sàng để chọn phân loại, mã thiết bị và thông số.</t>
  </si>
  <si>
    <t>1. Bấm Thêm nhóm ĐK.
2. Bấm Thêm ĐK.
3. Chọn phân loại Đèn LED.
4. Chọn mã thiết bị Dimming-Light.
5. Chọn thông số Độ sáng màn hình.
6. Chọn toán tử Bằng.
7. Nhập giá trị 1.
8. Lưu điều kiện.</t>
  </si>
  <si>
    <t>1. giao diện cho chọn toán tử Bằng với thông số dạng số.
2. Field Giá trị nhận số 1.
3. Lưu điều kiện thành công.
4. Thẻ điều kiện hiển thị câu dễ hiểu: Đèn LED Dimming-Light có Độ sáng màn hình bằng 1.</t>
  </si>
  <si>
    <t>1. Chọn Thiết bị &gt; LED light trong biểu mẫu điều kiện.
2. Mở danh sách chọn trong biểu mẫu điều kiện và đọc được danh sách toán tử.
3. Toán tử hiển thị trên giao diện: Energy Saving | Safety &amp; Security | Smart Environment | Traffic Support | Emergency Response | Inbiểu mẫuation &amp; Communication | Public Service | Medium | Cao | Emergency | Dimming-Light | Độ sáng hiện tại | Công suất tiêu thụ | Trạng thái thiết bị | Bằng | Lớn hơn | Lớn hơn hoặc bằng | Bé hơn | Bé hơn hoặc bằng | Khác | Sequential | Parallel | Sequential | Parallel.
4. giao diện có dữ liệu toán tử để cấu hình so sánh điều kiện.</t>
  </si>
  <si>
    <t>RE-COND-OP-001-002</t>
  </si>
  <si>
    <t>Kiểm tra điều kiện số dùng toán tử lớn hơn.</t>
  </si>
  <si>
    <t>1. Tạo điều kiện Đèn LED với thông số Độ sáng màn hình.
2. Mở danh sách chọn Toán tử.
3. Chọn Lớn hơn hoặc ký hiệu &gt;.
4. Nhập giá trị 60.
5. Lưu điều kiện.
6. Quan sát thẻ điều kiện.</t>
  </si>
  <si>
    <t>1. giao diện cho chọn toán tử Lớn hơn với thông số dạng số.
2. Giá trị 60 được chấp nhận.
3. Thẻ điều kiện thể hiện đúng nghĩa lớn hơn 60, không bị hiển thị thành bằng 60.
4. Không gửi lệnh điều khiển thiết bị khi chỉ lưu IF điều kiện.</t>
  </si>
  <si>
    <t>Wireframe được lấy từ file Dev Mode paste trong reports.</t>
  </si>
  <si>
    <t>RE-COND-OP-001-003</t>
  </si>
  <si>
    <t>Kiểm tra điều kiện số dùng toán tử lớn hơn hoặc bằng.</t>
  </si>
  <si>
    <t>1. Tạo điều kiện Đèn LED với thông số Độ sáng màn hình.
2. Mở danh sách chọn Toán tử.
3. Chọn Lớn hơn hoặc bằng hoặc ký hiệu &gt;=.
4. Nhập giá trị 80.
5. Lưu điều kiện.
6. Quan sát thẻ điều kiện.</t>
  </si>
  <si>
    <t>1. giao diện cho chọn toán tử Lớn hơn hoặc bằng với thông số dạng số.
2. Giá trị 80 được chấp nhận.
3. Thẻ điều kiện thể hiện đúng nghĩa &gt;= 80.
4. Thực thi sau này phải match cả giá trị đúng bằng 80 và lớn hơn 80.</t>
  </si>
  <si>
    <t>Mismatch copywriting: Robot không thuộc đối tượng chính của màn Rule Engine.</t>
  </si>
  <si>
    <t>RE-COND-OP-001-004</t>
  </si>
  <si>
    <t>Kiểm tra điều kiện số dùng toán tử nhỏ hơn.</t>
  </si>
  <si>
    <t>1. Tạo điều kiện theo thông số dạng số.
2. Chọn toán tử Nhỏ hơn hoặc ký hiệu &lt;.
3. Nhập giá trị 30.
4. Lưu điều kiện.
5. Quan sát thẻ điều kiện.</t>
  </si>
  <si>
    <t>1. giao diện cho chọn toán tử Nhỏ hơn với thông số dạng số.
2. Giá trị 30 được chấp nhận.
3. Thẻ điều kiện thể hiện đúng nghĩa nhỏ hơn 30.
4. Không tự đổi toán tử sau khi lưu.</t>
  </si>
  <si>
    <t>Wireframe có nhãn Phân loại kịch bản và Phân loại thiết bị.</t>
  </si>
  <si>
    <t>RE-COND-OP-001-005</t>
  </si>
  <si>
    <t>Kiểm tra điều kiện số dùng toán tử nhỏ hơn hoặc bằng.</t>
  </si>
  <si>
    <t>1. Tạo điều kiện theo thông số dạng số.
2. Chọn toán tử Nhỏ hơn hoặc bằng hoặc ký hiệu &lt;=.
3. Nhập giá trị 30.
4. Lưu điều kiện.
5. Quan sát thẻ điều kiện.</t>
  </si>
  <si>
    <t>1. giao diện cho chọn toán tử Nhỏ hơn hoặc bằng với thông số dạng số.
2. Giá trị 30 được chấp nhận.
3. Thẻ điều kiện thể hiện đúng nghĩa &lt;= 30.
4. Thực thi sau này phải match cả giá trị đúng bằng 30 và nhỏ hơn 30.</t>
  </si>
  <si>
    <t>Cần thao tác trực tiếp trên từng record test.</t>
  </si>
  <si>
    <t>RE-COND-OP-001-006</t>
  </si>
  <si>
    <t>Kiểm tra điều kiện số dùng toán tử khác.</t>
  </si>
  <si>
    <t>1. Tạo điều kiện theo thông số dạng số.
2. Chọn toán tử Khác hoặc ký hiệu !=.
3. Nhập giá trị 0.
4. Lưu điều kiện.
5. Quan sát thẻ điều kiện.</t>
  </si>
  <si>
    <t>1. giao diện cho chọn toán tử Khác với thông số dạng số.
2. Giá trị 0 được chấp nhận nếu nằm trong dải hợp lệ của thông số.
3. Thẻ điều kiện thể hiện đúng nghĩa khác 0.
4. Không nhầm với toán tử Bằng.</t>
  </si>
  <si>
    <t>RE-COND-OP-001-007</t>
  </si>
  <si>
    <t>Kiểm tra điều kiện số dùng khoảng min/max.</t>
  </si>
  <si>
    <t>1. Tạo điều kiện theo thông số dạng số.
2. Chọn toán tử Trong khoảng.
3. Nhập giá trị từ 30 đến 80.
4. Lưu điều kiện.
5. Quan sát thẻ điều kiện.</t>
  </si>
  <si>
    <t>1. giao diện chuyển trường Giá trị thành 2 ô Từ/Đến hoặc min/max.
2. Cho lưu khi min &lt;= max.
3. Thẻ điều kiện hiển thị rõ khoảng 30 - 80.
4. Không mất min/max khi đóng mở biểu mẫu.</t>
  </si>
  <si>
    <t>Cần xác nhận có bị ẩn dưới scroll/accordion không.</t>
  </si>
  <si>
    <t>Điều kiện Giá trị - Số Biên</t>
  </si>
  <si>
    <t>RE-COND-VAL-002-001</t>
  </si>
  <si>
    <t>Kiểm tra giá trị số tại biên thấp nhất của thông số.</t>
  </si>
  <si>
    <t>1. Tạo điều kiện với thông số dạng số có dải 0-100.
2. Chọn toán tử Bằng.
3. Nhập giá trị 0.
4. Lưu điều kiện.</t>
  </si>
  <si>
    <t>1. giao diện chấp nhận 0 nếu thông số cho phép dải 0-100.
2. Thẻ hiển thị giá trị 0, không tự xóa vì coi là empty.
3. Không báo lỗi required giá trị khi nhập 0.</t>
  </si>
  <si>
    <t>Cần nhập dữ liệu condition thật.</t>
  </si>
  <si>
    <t>RE-COND-VAL-002-002</t>
  </si>
  <si>
    <t>Kiểm tra giá trị số tại biên cao nhất của thông số.</t>
  </si>
  <si>
    <t>1. Tạo điều kiện với thông số dạng số có dải 0-100.
2. Chọn toán tử Bằng.
3. Nhập giá trị 100.
4. Lưu điều kiện.</t>
  </si>
  <si>
    <t>1. giao diện chấp nhận 100 nếu thông số cho phép dải 0-100.
2. Thẻ hiển thị đúng giá trị 100.
3. Không báo vượt dải khi đúng biên max.</t>
  </si>
  <si>
    <t>Cần catalog device/action thật để chạy.</t>
  </si>
  <si>
    <t>RE-COND-VAL-002-003</t>
  </si>
  <si>
    <t>Kiểm tra kiểm tra hợp lệ khi giá trị vượt max.</t>
  </si>
  <si>
    <t>1. Tạo điều kiện với thông số dạng số có dải 0-100.
2. Chọn toán tử Bằng.
3. Nhập giá trị 101.
4. Bấm lưu điều kiện.</t>
  </si>
  <si>
    <t>1. Không lưu điều kiện nếu thông số chỉ cho phép tối đa 100.
2. giao diện hiển thị lỗi rõ tại trường Giá trị.
3. Thẻ điều kiện không được tạo với giá trị sai dải.
4. Người dùng biết dải hợp lệ là 0-100.</t>
  </si>
  <si>
    <t>RE-COND-VAL-002-004</t>
  </si>
  <si>
    <t>Kiểm tra kiểm tra hợp lệ khi nhập số âm cho thông số không cho âm.</t>
  </si>
  <si>
    <t>1. Tạo điều kiện với thông số dạng số không cho âm.
2. Chọn toán tử Bằng.
3. Nhập giá trị -1.
4. Bấm lưu điều kiện.</t>
  </si>
  <si>
    <t>1. Không lưu điều kiện nếu thông số không cho giá trị âm.
2. giao diện hiển thị lỗi dễ hiểu tại trường Giá trị.
3. Không tạo thẻ điều kiện sai dữ liệu.</t>
  </si>
  <si>
    <t>Flow Dùng mẫu chưa đạt vì template detail lỗi hoặc không có template hợp lệ.</t>
  </si>
  <si>
    <t>RE-COND-VAL-002-005</t>
  </si>
  <si>
    <t>Kiểm tra giá trị decimal cho thông số hỗ trợ số lẻ.</t>
  </si>
  <si>
    <t>1. Tạo điều kiện với thông số môi trường hoặc tốc độ gió.
2. Chọn toán tử Lớn hơn.
3. Nhập giá trị 3.5.
4. Lưu điều kiện.</t>
  </si>
  <si>
    <t>1. giao diện chấp nhận số thập phân nếu thông số có thể đo số lẻ.
2. Thẻ hiển thị đúng 3.5, không làm tròn sai.
3. Nếu thông số chỉ cho số nguyên, giao diện phải báo lỗi rõ.</t>
  </si>
  <si>
    <t>Cần modal template chạy ổn trước.</t>
  </si>
  <si>
    <t>RE-COND-VAL-002-006</t>
  </si>
  <si>
    <t>Kiểm tra kiểm tra hợp lệ khi nhập text vào trường số.</t>
  </si>
  <si>
    <t>1. Tạo điều kiện với thông số dạng số.
2. Bấm trường Giá trị.
3. Nhập abc hoặc ký tự không phải số.
4. Bấm lưu điều kiện.</t>
  </si>
  <si>
    <t>1. giao diện không cho lưu text vào trường số.
2. Hiển thị lỗi rõ: giá trị phải là số.
3. Không tạo thẻ điều kiện với text sai kiểu.
4. Không crash biểu mẫu.</t>
  </si>
  <si>
    <t>Toán tử điều kiện - Đúng/Sai</t>
  </si>
  <si>
    <t>RE-COND-BOOL-003-001</t>
  </si>
  <si>
    <t>Kiểm tra điều kiện đúng/sai với giá trị bật/đúng.</t>
  </si>
  <si>
    <t>1. Tạo điều kiện với thông số Trạng thái thiết bị.
2. Chọn toán tử Bằng.
3. Chọn giá trị Bật hoặc Đúng.
4. Lưu điều kiện.</t>
  </si>
  <si>
    <t>1. Field Giá trị là danh sách chọn/toggle, không phải text tự do.
2. Cho chọn Bật/Đúng.
3. Thẻ điều kiện hiển thị trạng thái bật dễ hiểu.
4. Không cho nhập ký tự ngoài option.</t>
  </si>
  <si>
    <t>Cần cho phép thao tác form nhưng chưa lưu DB.</t>
  </si>
  <si>
    <t>RE-COND-BOOL-003-002</t>
  </si>
  <si>
    <t>Kiểm tra điều kiện đúng/sai với giá trị tắt/sai.</t>
  </si>
  <si>
    <t>1. Tạo điều kiện với thông số Trạng thái thiết bị.
2. Chọn toán tử Bằng.
3. Chọn giá trị Tắt hoặc Sai.
4. Lưu điều kiện.</t>
  </si>
  <si>
    <t>1. Cho chọn Tắt/Sai.
2. Thẻ điều kiện hiển thị trạng thái tắt dễ hiểu.
3. Không tự đổi Tắt thành Bật sau khi lưu.</t>
  </si>
  <si>
    <t>Chưa mở detail vì cần chọn record cụ thể.</t>
  </si>
  <si>
    <t>RE-COND-BOOL-003-003</t>
  </si>
  <si>
    <t>Kiểm tra đúng/sai không dùng toán tử số.</t>
  </si>
  <si>
    <t>1. Tạo điều kiện với thông số Trạng thái thiết bị.
2. Mở danh sách chọn Toán tử.
3. Quan sát danh sách toán tử.
4. Thử chọn Trong khoảng nếu giao diện vẫn hiển thị.</t>
  </si>
  <si>
    <t>1. Đúng/Sai chỉ hiển thị toán tử phù hợp như Bằng/Khác.
2. Không hiển thị hoặc không cho chọn &gt;, &gt;=, &lt;, &lt;=, Trong khoảng.
3. Nếu người dùng cố chọn toán tử sai, giao diện báo lỗi rõ và không lưu.</t>
  </si>
  <si>
    <t>Toán tử điều kiện - Chuỗi</t>
  </si>
  <si>
    <t>RE-COND-STR-004-001</t>
  </si>
  <si>
    <t>Kiểm tra điều kiện chuỗi với toán tử bằng.</t>
  </si>
  <si>
    <t>1. Tạo điều kiện Camera AI.
2. Chọn thông số dạng chuỗi như Biển số xe hoặc Khuôn mặt.
3. Chọn toán tử Bằng.
4. Nhập giá trị hợp lệ.
5. Lưu điều kiện.</t>
  </si>
  <si>
    <t>1. Field chuỗi cho nhập text hợp lệ.
2. Toán tử phù hợp với chuỗi là Bằng/Khác hoặc Chứa nếu giao diện hỗ trợ.
3. Thẻ điều kiện hiển thị đúng giá trị text, không mất dấu/ký tự.</t>
  </si>
  <si>
    <t>RE-COND-STR-004-002</t>
  </si>
  <si>
    <t>Kiểm tra kiểm tra hợp lệ khi giá trị chuỗi rỗng.</t>
  </si>
  <si>
    <t>1. Tạo điều kiện với thông số chuỗi.
2. Chọn toán tử Bằng.
3. Để trống giá trị hoặc nhập toàn khoảng trắng.
4. Bấm lưu điều kiện.</t>
  </si>
  <si>
    <t>1. Không lưu điều kiện khi giá trị chuỗi rỗng sau khi trim.
2. giao diện báo lỗi cần nhập giá trị.
3. Không tạo thẻ điều kiện trắng.</t>
  </si>
  <si>
    <t>Cần dữ liệu xung đột runtime.</t>
  </si>
  <si>
    <t>RE-COND-STR-004-003</t>
  </si>
  <si>
    <t>Kiểm tra giao diện an toàn khi nhập ký tự đặc biệt vào điều kiện chuỗi.</t>
  </si>
  <si>
    <t>1. Tạo điều kiện với thông số chuỗi.
2. Nhập giá trị có ký tự đặc biệt như &lt;script&gt;alert(1)&lt;/script&gt;.
3. Lưu điều kiện hoặc quan sát kiểm tra hợp lệ.
4. Quan sát thẻ điều kiện.</t>
  </si>
  <si>
    <t>1. giao diện không thực thi script.
2. Nếu cho lưu text đặc biệt, thẻ phải escape ký tự an toàn.
3. Nếu không cho lưu, giao diện báo lỗi kiểm tra hợp lệ rõ.
4. Trang không crash.</t>
  </si>
  <si>
    <t>Toán tử điều kiện - Enum</t>
  </si>
  <si>
    <t>RE-COND-ENUM-005-001</t>
  </si>
  <si>
    <t>Kiểm tra điều kiện danh sách chọn chỉ chọn option hợp lệ.</t>
  </si>
  <si>
    <t>1. Tạo điều kiện Cảm biến gió.
2. Chọn thông số Hướng gió.
3. Mở trường Giá trị.
4. Chọn một hướng gió hợp lệ.
5. Lưu điều kiện.</t>
  </si>
  <si>
    <t>1. Giá trị Hướng gió hiển thị dạng danh sách chọn/option danh sách.
2. Chỉ cho chọn hướng nằm trong danh sách hợp lệ.
3. Thẻ điều kiện hiển thị đúng hướng gió đã chọn.</t>
  </si>
  <si>
    <t>RE-COND-ENUM-005-002</t>
  </si>
  <si>
    <t>Kiểm tra kiểm tra hợp lệ với danh sách chọn sai option.</t>
  </si>
  <si>
    <t>1. Tạo điều kiện với trường danh sách chọn.
2. Thử nhập hoặc paste giá trị không nằm trong danh sách.
3. Bấm lưu điều kiện.</t>
  </si>
  <si>
    <t>1. giao diện không cho nhập option ngoài danh sách hoặc báo lỗi khi lưu.
2. Không tạo thẻ với danh sách chọn không hợp lệ.
3. Dropdown vẫn giữ option hợp lệ trước đó nếu có.</t>
  </si>
  <si>
    <t>Điều kiện Dependency</t>
  </si>
  <si>
    <t>RE-COND-DEP-006-001</t>
  </si>
  <si>
    <t>Kiểm tra dependency khi thay đổi phân loại điều kiện.</t>
  </si>
  <si>
    <t>1. Trong biểu mẫu điều kiện, chọn phân loại Đèn LED.
2. Chọn mã thiết bị, thông số, toán tử và giá trị.
3. Đổi phân loại sang Camera AI.
4. Quan sát các trường phụ thuộc.</t>
  </si>
  <si>
    <t>1. Mã thiết bị được reload theo phân loại mới.
2. Thông số, toán tử và giá trị cũ bị clear hoặc validate lại.
3. giao diện không giữ nhầm Dimming-Light/Độ sáng màn hình dưới Camera AI.
4. Không cho lưu điều kiện bị lẫn phân loại.</t>
  </si>
  <si>
    <t>RE-COND-DEP-006-002</t>
  </si>
  <si>
    <t>Kiểm tra dependency khi thay đổi mã thiết bị.</t>
  </si>
  <si>
    <t>1. Chọn một phân loại có nhiều thiết bị.
2. Chọn thiết bị A và thông số A.
3. Đổi sang thiết bị B.
4. Quan sát danh sách chọn Thông số, Toán tử, Giá trị.</t>
  </si>
  <si>
    <t>1. Thông số được reload theo thiết bị B.
2. Thông số/giá trị cũ của thiết bị A không còn được giữ nếu không hợp lệ.
3. giao diện không cho lưu điều kiện sai mapping thiết bị-trường.</t>
  </si>
  <si>
    <t>RE-COND-DEP-006-003</t>
  </si>
  <si>
    <t>Kiểm tra dependency khi thay đổi thông số từ số sang đúng/sai/chuỗi.</t>
  </si>
  <si>
    <t>1. Chọn điều kiện có thông số dạng số.
2. Nhập toán tử số và giá trị số.
3. Đổi thông số sang Trạng thái thiết bị hoặc trường chuỗi.
4. Quan sát Toán tử và Giá trị.</t>
  </si>
  <si>
    <t>1. Danh sách Toán tử đổi theo kiểu dữ liệu mới.
2. Field Giá trị đổi vùng thao tác phù hợp: số ô nhập, danh sách chọn đúng/sai hoặc text.
3. Giá trị cũ sai kiểu bị clear.
4. Không cho lưu điều kiện sai kiểu.</t>
  </si>
  <si>
    <t>Logic nhóm điều kiện</t>
  </si>
  <si>
    <t>RE-COND-GROUP-007-001</t>
  </si>
  <si>
    <t>Kiểm tra nhóm điều kiện với nhiều điều kiện cùng phải đúng.</t>
  </si>
  <si>
    <t>1. Thêm Nhóm điều kiện 1.
2. Thêm điều kiện 1 hợp lệ.
3. Thêm điều kiện 2 hợp lệ trong cùng nhóm.
4. Chọn toán tử liên kết VÀ nếu giao diện có.
5. Lưu kịch bản nháp.</t>
  </si>
  <si>
    <t>1. giao diện hiển thị 2 điều kiện trong cùng NHÓM 1.
2. Toán tử VÀ thể hiện rõ giữa 2 điều kiện.
3. Lưu nháp thành công khi cả 2 điều kiện hợp lệ.
4. Không mất điều kiện 1 khi thêm điều kiện 2.</t>
  </si>
  <si>
    <t>1. giao diện có hiển thị lựa chọn logic nhóm điều kiện AND/OR hoặc VÀ/HOẶC.
2. Người dùng có cơ sở cấu hình cách kết hợp nhiều điều kiện.</t>
  </si>
  <si>
    <t>RE-COND-GROUP-007-002</t>
  </si>
  <si>
    <t>Kiểm tra nhóm điều kiện với nhiều điều kiện chỉ cần một điều kiện đúng.</t>
  </si>
  <si>
    <t>1. Thêm Nhóm điều kiện 1.
2. Thêm 2 điều kiện hợp lệ.
3. Chọn toán tử liên kết HOẶC nếu giao diện có.
4. Lưu kịch bản nháp.
5. Quan sát thẻ/mô tả nhóm.</t>
  </si>
  <si>
    <t>1. giao diện hiển thị toán tử HOẶC rõ ràng giữa các điều kiện.
2. Không tự đổi về VÀ khi lưu.
3. Mô tả nhóm dễ hiểu để người dùng biết chỉ cần một điều kiện đúng.</t>
  </si>
  <si>
    <t>RE-COND-GROUP-007-003</t>
  </si>
  <si>
    <t>Kiểm tra lưu, mở lại và bật kịch bản có hai nhóm; mỗi nhóm gồm hai điều kiện Camera DC.</t>
  </si>
  <si>
    <t>Người dùng đã đăng nhập hệ thống Smart Pole; giao diện đang dùng tiếng Việt; Camera DC và đèn Dimming-Light có trong danh mục thiết bị.</t>
  </si>
  <si>
    <t>1. Mở trang Rule Engine và chọn Thêm mới.
2. Nhập tên, mô tả kịch bản và lưu bản nháp.
3. Mở chỉnh sửa kịch bản vừa tạo.
4. Thêm Nhóm 1 gồm hai điều kiện Camera DC: Đếm đối tượng trong khung hình &gt; 1 VÀ &gt; 3.
5. Thêm Nhóm 2 gồm hai điều kiện Camera DC: Đếm đối tượng trong khung hình &gt; 2 VÀ &gt; 4.
6. Chuyển liên kết giữa Nhóm 1 và Nhóm 2 từ HOẶC sang VÀ.
7. Thêm hành động THEN: bật đèn Dimming-Light, cường độ 80%.
8. Bấm Lưu, tìm lại kịch bản và mở chỉnh sửa.
9. Kiểm tra dữ liệu đã lưu, chọn trạng thái Đang bật và bấm Lưu.
10. Tìm lại kịch bản trong danh sách và kiểm tra trạng thái.</t>
  </si>
  <si>
    <t>1. Giao diện hiển thị đúng Nhóm 1 và Nhóm 2; mỗi nhóm có đủ hai điều kiện Camera DC.
2. Hai điều kiện trong từng nhóm được nối bằng VÀ; liên kết giữa hai nhóm là VÀ.
3. Hành động THEN hiển thị đúng đèn Dimming-Light, trạng thái ON và cường độ 80%.
4. Kịch bản lưu thành công và xuất hiện trong danh sách.
5. Khi mở lại chỉnh sửa, hệ thống giữ nguyên hai nhóm, bốn điều kiện, toán tử và hành động đã cấu hình.
6. Sau khi bật và lưu, danh sách hiển thị trạng thái Đang bật.</t>
  </si>
  <si>
    <t>1. Đã tạo và lưu bản nháp thành công.
2. Đã thêm hai nhóm; mỗi nhóm có đủ hai điều kiện Camera DC theo dữ liệu kiểm thử.
3. Trong từng nhóm và giữa hai nhóm đều hiển thị liên kết VÀ đúng cấu hình.
4. Đã thêm hành động bật đèn Dimming-Light ở cường độ 80%.
5. Sau khi lưu, kịch bản xuất hiện trong danh sách.
6. Mở lại chỉnh sửa, giao diện giữ đúng hai nhóm, bốn điều kiện và hành động đã lưu.
7. Chuyển trạng thái sang Đang bật và lưu thành công; danh sách hiển thị Đang bật.</t>
  </si>
  <si>
    <t>Bám kịch bản demo dimming.</t>
  </si>
  <si>
    <t>RE-COND-GROUP-007-004</t>
  </si>
  <si>
    <t>Kiểm tra xóa một điều kiện không làm mất cả nhóm.</t>
  </si>
  <si>
    <t>1. Tạo một nhóm có 2 điều kiện.
2. Bấm xóa điều kiện thứ 2.
3. Xác nhận nếu giao diện có cửa sổ chọn xác nhận.
4. Quan sát nhóm còn lại.
5. Lưu kịch bản nháp.</t>
  </si>
  <si>
    <t>1. Chỉ điều kiện được chọn bị xóa.
2. Điều kiện còn lại vẫn giữ nguyên dữ liệu.
3. Nếu nhóm còn ít nhất 1 điều kiện thì vẫn hợp lệ.
4. giao diện không crash hoặc reset toàn bộ biểu mẫu.</t>
  </si>
  <si>
    <t>RE-COND-GROUP-007-005</t>
  </si>
  <si>
    <t>Kiểm tra xóa một nhóm không làm mất nhóm khác.</t>
  </si>
  <si>
    <t>1. Tạo 2 nhóm điều kiện, mỗi nhóm có 1 điều kiện hợp lệ.
2. Bấm xóa Nhóm 2.
3. Xác nhận nếu giao diện có cửa sổ chọn xác nhận.
4. Quan sát Nhóm 1.
5. Lưu kịch bản nháp.</t>
  </si>
  <si>
    <t>1. Chỉ nhóm được chọn bị xóa.
2. Nhóm còn lại giữ nguyên điều kiện.
3. Nếu kịch bản còn ít nhất 1 nhóm hợp lệ thì lưu được.
4. giao diện cảnh báo nếu xóa nhóm cuối cùng sẽ làm kịch bản thiếu điều kiện.</t>
  </si>
  <si>
    <t>Điều kiện Kiểm tra hợp lệ</t>
  </si>
  <si>
    <t>RE-COND-VALID-008-001</t>
  </si>
  <si>
    <t>Kiểm tra kiểm tra hợp lệ trường Phân loại điều kiện.</t>
  </si>
  <si>
    <t>1. Bấm Thêm ĐK trong nhóm.
2. Không chọn Phân loại điều kiện.
3. Bấm lưu điều kiện.</t>
  </si>
  <si>
    <t>1. Không lưu điều kiện.
2. giao diện báo lỗi bắt buộc chọn Phân loại điều kiện.
3. Các trường phụ thuộc không tự chọn giá trị ngầm.</t>
  </si>
  <si>
    <t>Case sát kịch bản demo nhất.</t>
  </si>
  <si>
    <t>RE-COND-VALID-008-002</t>
  </si>
  <si>
    <t>Kiểm tra kiểm tra hợp lệ trường Mã thiết bị.</t>
  </si>
  <si>
    <t>1. Chọn Phân loại điều kiện.
2. Không chọn Mã thiết bị.
3. Bấm lưu điều kiện.</t>
  </si>
  <si>
    <t>1. Không lưu điều kiện.
2. giao diện báo lỗi bắt buộc chọn Mã thiết bị nếu loại điều kiện cần thiết bị.
3. Không tạo điều kiện với thiết bị rỗng.</t>
  </si>
  <si>
    <t>Cần xác nhận policy manual vs rule engine.</t>
  </si>
  <si>
    <t>RE-COND-VALID-008-003</t>
  </si>
  <si>
    <t>Kiểm tra kiểm tra hợp lệ trường Thông số.</t>
  </si>
  <si>
    <t>1. Chọn Phân loại và Mã thiết bị.
2. Không chọn Thông số.
3. Bấm lưu điều kiện.</t>
  </si>
  <si>
    <t>1. Không lưu điều kiện.
2. giao diện báo lỗi bắt buộc chọn Thông số.
3. Không tự lấy thông số đầu tiên nếu người dùng chưa chọn.</t>
  </si>
  <si>
    <t>RE-COND-VALID-008-004</t>
  </si>
  <si>
    <t>Kiểm tra kiểm tra hợp lệ trường Toán tử.</t>
  </si>
  <si>
    <t>1. Chọn đủ Phân loại, Mã thiết bị và Thông số.
2. Không chọn Toán tử nếu giao diện cho bỏ trống.
3. Nhập giá trị.
4. Bấm lưu điều kiện.</t>
  </si>
  <si>
    <t>1. Không lưu điều kiện nếu toán tử là bắt buộc.
2. giao diện báo lỗi tại trường Toán tử.
3. Không tự hiểu mặc định là Bằng nếu giao diện không hiển thị rõ.</t>
  </si>
  <si>
    <t>RE-COND-VALID-008-005</t>
  </si>
  <si>
    <t>Kiểm tra kiểm tra hợp lệ trường Giá trị.</t>
  </si>
  <si>
    <t>1. Chọn đủ Phân loại, Mã thiết bị, Thông số và Toán tử.
2. Để trống Giá trị.
3. Bấm lưu điều kiện.</t>
  </si>
  <si>
    <t>1. Không lưu điều kiện nếu toán tử cần giá trị.
2. giao diện báo lỗi tại trường Giá trị.
3. Không tạo thẻ điều kiện với giá trị rỗng.</t>
  </si>
  <si>
    <t>Điều kiện Time Toán tử</t>
  </si>
  <si>
    <t>RE-COND-TIME-009-001</t>
  </si>
  <si>
    <t>Kiểm tra điều kiện thời gian với giờ hợp lệ.</t>
  </si>
  <si>
    <t>1. Thêm điều kiện Thời gian nếu giao diện hỗ trợ.
2. Chọn trường Giờ trong ngày.
3. Nhập 0 hoặc 23.
4. Lưu điều kiện.</t>
  </si>
  <si>
    <t>1. giao diện chấp nhận 0 và 23.
2. Thẻ điều kiện hiển thị giờ rõ ràng.
3. Không đổi timezone làm lệch giờ đã nhập.</t>
  </si>
  <si>
    <t>RE-COND-TIME-009-002</t>
  </si>
  <si>
    <t>Kiểm tra kiểm tra hợp lệ giờ ngoài dải.</t>
  </si>
  <si>
    <t>1. Thêm điều kiện Thời gian nếu giao diện hỗ trợ.
2. Chọn trường Giờ trong ngày.
3. Nhập -1 hoặc 24.
4. Bấm lưu điều kiện.</t>
  </si>
  <si>
    <t>1. Không lưu điều kiện với giờ ngoài dải 0-23.
2. giao diện báo lỗi rõ tại trường giờ.
3. Không tạo thẻ điều kiện sai thời gian.</t>
  </si>
  <si>
    <t>RE-COND-TIME-009-003</t>
  </si>
  <si>
    <t>Kiểm tra điều kiện khoảng giờ trong ngày.</t>
  </si>
  <si>
    <t>1. Thêm điều kiện Thời gian nếu giao diện hỗ trợ.
2. Chọn kiểu Khoảng thời gian.
3. Nhập từ 18:00 đến 05:00 hoặc 08:00 đến 17:00 theo giao diện cho phép.
4. Lưu điều kiện.
5. Quan sát mô tả thẻ.</t>
  </si>
  <si>
    <t>1. giao diện cho cấu hình khoảng giờ theo nghiệp vụ.
2. Nếu hỗ trợ qua ngày, 18:00-05:00 phải được mô tả rõ là qua ngày.
3. Nếu không hỗ trợ qua ngày, giao diện phải báo lỗi rõ và hướng dẫn tách khoảng.
4. Thẻ hiển thị đúng start/end.</t>
  </si>
  <si>
    <t>Hành động Ma trận - Đèn LED</t>
  </si>
  <si>
    <t>RE-ACTION-MATRIX-001-001</t>
  </si>
  <si>
    <t>Kiểm tra hành động Đèn LED theo ràng buộc tham số.</t>
  </si>
  <si>
    <t>Người dùng đã mở biểu mẫu Tạo mới kịch bản; đã có ít nhất một nhóm điều kiện hợp lệ hoặc đang kiểm tra riêng phần THEN/ELSE; thiết bị test/dữ liệu giả lập không ảnh hưởng vận hành thật.</t>
  </si>
  <si>
    <t>1. Thêm hành động trong THEN.
2. Chọn loại thiết bị Đèn LED.
3. Chọn hành động Bật/Tắt nhanh và nhập trạng thái Bật/Tắt.
4. Chọn hành động Cài đặt độ sáng.
5. Kiểm tra bắt buộc Trạng thái Bật và Cường độ 0-100%.
6. Thử 0, 100, 101, -1 cho Cường độ.</t>
  </si>
  <si>
    <t>1. Bật/Tắt nhanh bắt buộc chọn Trạng thái Bật/Tắt.
2. Cài đặt độ sáng bắt buộc Trạng thái Bật.
3. Cường độ chỉ hợp lệ trong 0-100%.
4. Không gửi lệnh xuống LED trước khi lưu/kích hoạt kịch bản.
5. Cooldown 30 giây cần được thể hiện hoặc được hệ thống xử lý khi chạy thực thi.</t>
  </si>
  <si>
    <t>Bám kịch bản demo màn hình Smart Pole.</t>
  </si>
  <si>
    <t>Hành động Ma trận - Camera AI</t>
  </si>
  <si>
    <t>RE-ACTION-MATRIX-002-001</t>
  </si>
  <si>
    <t>Kiểm tra hành động camera theo preset và thời lượng.</t>
  </si>
  <si>
    <t>1. Thêm hành động trong THEN.
2. Chọn loại thiết bị Camera AI.
3. Chọn Chụp ảnh tức thời.
4. Kiểm tra trường Vị trí/Preset ID bắt buộc.
5. Chọn Ghi hình theo yêu cầu.
6. Kiểm tra Preset ID và Thời gian ghi hình bắt buộc.</t>
  </si>
  <si>
    <t>1. Chụp ảnh tức thời bắt buộc có Preset ID.
2. Ghi hình theo yêu cầu bắt buộc Preset ID và thời gian ghi hình.
3. Không cho lưu hành động thiếu Preset ID.
4. Cooldown 30 giây được xử lý khi thực thi chạy.
5. giao diện không nhầm hành động camera với điều kiện camera.</t>
  </si>
  <si>
    <t>Logic lịch và xung đột kịch bản</t>
  </si>
  <si>
    <t>RE-SCHEDULE-CONFLICT-010-001</t>
  </si>
  <si>
    <t>Kiểm tra case thời điểm kết thúc bằng thời điểm bắt đầu theo business kịch bản chiếu sáng.</t>
  </si>
  <si>
    <t>Người dùng đã đăng nhập hệ thống Smart Pole; đang ở Kịch bản tự động/Giám sát kịch bản hoặc màn cấu hình lịch áp dụng; có dữ liệu lịch/kịch bản test cho cùng một Smart Pole; không thao tác thiết bị thật ngoài phạm vi test.</t>
  </si>
  <si>
    <t>1. Tạo hoặc chọn Lịch A: Thứ 2-Thứ 6, 18:00-22:00, ưu tiên Cao.
2. Tạo Lịch B cùng Smart Pole: Thứ 2-Thứ 6, 22:00-23:00, cùng ưu tiên Cao.
3. Bấm Lưu.
4. Quan sát thông báo và danh sách Giám sát kịch bản.</t>
  </si>
  <si>
    <t>1. Hệ thống lưu lịch B thành công vì thời điểm kết thúc của A bằng thời điểm bắt đầu của B, không bị xem là trùng thời gian.
2. giao diện hiển thị thông báo Tạo lịch thành công.
3. Danh sách hiển thị cả hai lịch/kịch bản, không hiện cảnh báo conflict.
4. Không làm thay đổi trạng thái lịch A.</t>
  </si>
  <si>
    <t>1. Lịch A tồn tại: Có, thời gian lưu: 18:00-22:00.
2. Lịch B tồn tại: Có, thời gian hiện tại: 22:00-23:00.
3. Cả hai lịch liền kề đã được lưu trên hệ thống.</t>
  </si>
  <si>
    <t>RE-SCHEDULE-CONFLICT-010-002</t>
  </si>
  <si>
    <t>Kiểm tra conflict đúng điều kiện: trùng toàn bộ thời gian + cùng mức ưu tiên.</t>
  </si>
  <si>
    <t>1. Tạo hoặc chọn Lịch A: Thứ 2-Thứ 6, 18:00-22:00, ưu tiên Cao.
2. Tạo Lịch B cùng Smart Pole: Thứ 2-Thứ 6, 18:00-22:00, ưu tiên Cao.
3. Bấm Lưu.
4. Quan sát kiểm tra hợp lệ/thông báo và danh sách.</t>
  </si>
  <si>
    <t>1. Hệ thống không lưu Lịch B.
2. giao diện hiển thị thông báo dễ hiểu: Lịch conflict hoặc nội dung tiếng Việt tương đương.
3. Danh sách không sinh thêm bản ghi trùng.
4. Lịch A giữ nguyên, không bị tắt hoặc ghi đè.</t>
  </si>
  <si>
    <t>RETEST 07/09/2026 (lần 2, dev báo đã fix): Tạo 2 rule Enabled cùng lịch Mon-Fri 18:00-22:00, cùng Priority High, cùng action Lighting trên Dimming-Light. Hệ thống hiển thị popup "Rule conflict detected" liệt kê rõ: tên 2 rule xung đột, thiết bị dùng chung (Dimming-Light), khung giờ chồng lấn 18:00-22:00, mức ưu tiên trùng (High). Có 3 lựa chọn: Cancel/Save draft/Overwrite (Overwrite sẽ Disable rule xung đột cũ). Khớp đúng kết quả mong đợi.
RETEST 07/09/2026 (lần 3, verify ma trận đầy đủ theo bảng PSD): (1) Medium chồng giờ với High Enabled -&gt; KHÔNG popup (đúng "Ưu tiên A thắng"). (2) High chồng giờ với High Enabled -&gt; CÓ popup xung đột (đúng). (3) Medium KHÔNG chồng giờ -&gt; KHÔNG popup (đúng). Nội dung popup đủ: tên rule xung đột + thiết bị dùng chung + khung giờ + mức ưu tiên + 3 nút Cancel/Save draft/Overwrite. Lưu ý: hệ thống chỉ có Medium/High/Emergency, không có mức Low để test riêng theo đúng bảng PSD gốc, nhưng cơ chế ưu tiên khác nhau đã verify đúng qua Medium-High.</t>
  </si>
  <si>
    <t>Đã fix (BUG-RE-007 đóng) - popup conflict rõ ràng, đúng theo PSD 8.3.6</t>
  </si>
  <si>
    <t>RE-SCHEDULE-CONFLICT-010-003</t>
  </si>
  <si>
    <t>Kiểm tra lịch giao nhau một phần vẫn được lưu theo business kịch bản.</t>
  </si>
  <si>
    <t>1. Tạo hoặc chọn Lịch A: 18:00-22:00, ưu tiên Cao.
2. Tạo Lịch B cùng Smart Pole: 21:00-23:00, ưu tiên Cao.
3. Bấm Lưu.
4. Quan sát thông báo, danh sách và kịch bản được áp dụng trong khoảng 21:00-22:00.</t>
  </si>
  <si>
    <t>1. Hệ thống lưu Lịch B thành công, không xem overlap một phần là conflict.
2. giao diện hiển thị thông báo Tạo lịch thành công.
3. Danh sách thể hiện rõ hai lịch để người dùng hiểu có khoảng giao nhau.
4. Nếu thực thi có nhiều lịch cùng hiệu lực, hệ thống áp dụng theo độ ưu tiên/policy đã định, không chạy hành động trùng lặp vô hạn.</t>
  </si>
  <si>
    <t>1. Lịch D giao một phần tồn tại: Có.
2. Thời gian lưu sau lượt sửa: 21:00-23:00.</t>
  </si>
  <si>
    <t>RE-SCHEDULE-CONFLICT-010-004</t>
  </si>
  <si>
    <t>Kiểm tra lịch lớn bao phủ lịch nhỏ và lịch nhỏ nằm trong lịch lớn.</t>
  </si>
  <si>
    <t>1. Tạo hoặc chọn Lịch A: 18:00-22:00.
2. Tạo Lịch B cùng Smart Pole: 17:00-23:00.
3. Tạo Lịch C cùng Smart Pole: 19:00-20:00.
4. Bấm Lưu từng lịch.
5. Quan sát danh sách và thực thi nếu thời gian hiện tại nằm trong nhiều lịch.</t>
  </si>
  <si>
    <t>1. Hệ thống cho phép lưu B và C thành công.
2. giao diện không báo conflict chỉ vì bao phủ/nằm trong.
3. Danh sách hiển thị đủ các lịch/kịch bản và không che mất thông tin điều kiện/thời gian.
4. Thực thi phải có policy rõ để chọn lịch/hành động khi nhiều lịch cùng hiệu lực.</t>
  </si>
  <si>
    <t>1. Lịch E bao phủ 17:00-23:00 tồn tại: Có, thời gian: 17:00-23:00.
2. Lịch F nằm trong 19:00-20:00 tồn tại: Có, thời gian: 19:00-20:00.</t>
  </si>
  <si>
    <t>RE-SCHEDULE-CONFLICT-010-005</t>
  </si>
  <si>
    <t>Kiểm tra lịch enable được thực thi ngay khi thời gian hiện tại khớp lịch.</t>
  </si>
  <si>
    <t>1. Đặt thời gian lịch chứa thời điểm hiện tại của môi trường test.
2. Bật trạng thái Bật cho lịch/kịch bản.
3. Bấm Lưu.
4. Quan sát thông báo, trạng thái trên danh sách và trạng thái điều khiển liên quan.</t>
  </si>
  <si>
    <t>1. Hệ thống lưu lịch thành công.
2. Nếu thời điểm hiện tại nằm trong khoảng hiệu lực, trạng thái điều khiển theo lịch được áp dụng ngay.
3. giao diện hiển thị trạng thái đang chạy/đã áp dụng rõ ràng.
4. Không cần chờ chu kỳ kế tiếp nếu business kịch bản yêu cầu áp dụng ngay.</t>
  </si>
  <si>
    <t>Tạo kịch bản thành công với điều kiện và hành động đầy đủ.</t>
  </si>
  <si>
    <t>RE-SCHEDULE-CONFLICT-010-006</t>
  </si>
  <si>
    <t>Kiểm tra chỉnh sửa lịch hợp lệ.</t>
  </si>
  <si>
    <t>1. Chọn một lịch đang không có xung đột.
2. Sửa tên/mô tả hoặc đổi thời gian sang khoảng không trùng hoàn toàn thời gian và độ ưu tiên với lịch khác.
3. Bấm Cập nhật.
4. Quan sát thông báo và dữ liệu danh sách/chi tiết.</t>
  </si>
  <si>
    <t>1. Hệ thống cập nhật lịch thành công.
2. giao diện hiển thị thông báo Cập nhật lịch thành công.
3. Danh sách/chi tiết phản ánh dữ liệu mới.
4. Chỉ kiểm tra xung đột khi thay đổi thời gian, ngày áp dụng hoặc chu kỳ lặp theo nghiệp vụ.</t>
  </si>
  <si>
    <t>RETEST 07/09/2026: Tạo rule mới với giờ 10:00-12:00, lưu thành công. Mở lại, sửa giờ sang 21:00-23:00 (không trùng lịch khác), bấm Save. Mở lại rule lần nữa để xác nhận -&gt; giờ bắt đầu/kết thúc hiển thị đúng 21:00/23:00, khớp với thao tác chỉnh sửa. Lưu đúng.</t>
  </si>
  <si>
    <t>Đã fix/retest OK - thời gian chỉnh sửa lưu đúng sau khi mở lại</t>
  </si>
  <si>
    <t>RE-SCHEDULE-CONFLICT-010-007</t>
  </si>
  <si>
    <t>Kiểm tra update bị từ chối nếu sửa thành lịch trùng hoàn toàn với lịch khác.</t>
  </si>
  <si>
    <t>1. Có Lịch A: 18:00-22:00, ưu tiên Cao.
2. Mở Lịch B đang khác thời gian.
3. Sửa Lịch B thành 18:00-22:00 và ưu tiên Cao.
4. Bấm Cập nhật.
5. Quan sát thông báo và dữ liệu sau khi đóng/mở lại.</t>
  </si>
  <si>
    <t>1. Hệ thống không cập nhật Lịch B.
2. giao diện hiển thị thông báo Cập nhật thất bại do xung đột lịch hoặc nội dung tương đương.
3. Lịch B giữ lại dữ liệu cũ.
4. Không tạo thêm bản ghi mới thay cho update lỗi.</t>
  </si>
  <si>
    <t>1. Mở lại lịch B sau khi thử sửa thành 18:00-22:00 trùng lịch A.
2. UI đang lưu thời gian: 22:00-23:00.
3. Hệ thống giữ lịch cũ, không lưu cấu hình xung đột.</t>
  </si>
  <si>
    <t>RE-SCHEDULE-CONFLICT-010-008</t>
  </si>
  <si>
    <t>Kiểm tra lịch đang chạy khi cập nhật phải có xác nhận rõ.</t>
  </si>
  <si>
    <t>1. Chuẩn bị một lịch đang ở trạng thái Đang chạy.
2. Bấm Sửa và thay đổi cấu hình hợp lệ.
3. Bấm Cập nhật.
4. Quan sát cửa sổ chi tiết xác nhận.
5. Bấm Hủy rồi thử lại và bấm Cập nhật.</t>
  </si>
  <si>
    <t>1. giao diện hiển thị cửa sổ chi tiết Xác nhận cập nhật lịch.
2. Nội dung nói rõ lịch đang được thực thi và thay đổi sẽ áp dụng ngay cho lịch đang chạy và các lần sau.
3. Bấm Hủy không lưu thay đổi.
4. Bấm Cập nhật thì lưu theo chính sách thực thi đã mô tả.</t>
  </si>
  <si>
    <t>RE-SCHEDULE-CONFLICT-010-009</t>
  </si>
  <si>
    <t>Kiểm tra xóa lịch đang thực thi.</t>
  </si>
  <si>
    <t>1. Chuẩn bị một lịch đang chạy.
2. Bấm Xóa.
3. Quan sát cửa sổ chi tiết/thông báo.
4. Kiểm tra lại danh sách.</t>
  </si>
  <si>
    <t>1. Hệ thống không xóa lịch đang được thực thi.
2. giao diện hiển thị thông báo Không thể xóa lịch đang được thực thi hoặc hướng dẫn tắt lịch trước.
3. Lịch vẫn còn trên danh sách.
4. Không làm tắt thiết bị hoặc thay đổi lịch khác.</t>
  </si>
  <si>
    <t>RE-SCHEDULE-CONFLICT-010-010</t>
  </si>
  <si>
    <t>Kiểm tra chế độ điều khiển không xóa hoặc tắt lịch đã cấu hình.</t>
  </si>
  <si>
    <t>1. Smart Pole đang ở chế độ tự động và có lịch đang bật/đang chạy.
2. Chuyển sang chế độ thủ công.
3. Kiểm tra lịch trên danh sách.
4. Chuyển lại chế độ tự động.
5. Nếu thời điểm hiện tại nằm trong lịch đang bật, quan sát trạng thái áp dụng.</t>
  </si>
  <si>
    <t>1. Chuyển sang thủ công thành công và dừng cơ chế thực thi lịch.
2. Lịch không bị xóa, không bị tắt, không đổi cấu hình.
3. Chuyển lại tự động thành công và dùng lại các lịch đã bật.
4. Nếu đang trong khoảng hiệu lực, hệ thống áp dụng ngay trạng thái điều khiển tương ứng.</t>
  </si>
  <si>
    <t>Chưa có control chuyển chế độ trên trang Rule Engine.</t>
  </si>
  <si>
    <t>Luồng nghiệp vụ - Đón đoàn khách tham quan</t>
  </si>
  <si>
    <t>RE-BIZ-FLOW-001-001</t>
  </si>
  <si>
    <t>Kiểm tra mẫu kịch bản Đón đoàn khách tham quan theo tài liệu chi tiết.</t>
  </si>
  <si>
    <t>Người dùng đã mở Kịch bản tự động; có dữ liệu thiết bị/dữ liệu giả lập tương ứng với camera, loa, màn hình LED, cảm biến môi trường/ngập; không dùng thiết bị thật khi chưa có xác nhận vận hành.</t>
  </si>
  <si>
    <t>1. Tạo kịch bản phân loại Info &amp; Communication hoặc Public Services theo thiết kế.
2. Cấu hình thời gian Custom 10:30-11:00 ngày 21/07/2026.
3. Cấu hình IF: Camera AI Đếm đối tượng &gt;= 4 AND Thời gian trong khoảng.
4. Cấu hình THEN: Loa phát tệp chào mừng âm lượng 70%, Màn hình LED hiển thị video giới thiệu, Camera chụp ảnh.
5. Cấu hình ELSE: Màn hình LED giữ nội dung mặc định.
6. Kích hoạt bằng dữ liệu giả lập event đủ điều kiện và event không đủ điều kiện.</t>
  </si>
  <si>
    <t>1. Khi &gt;=4 đối tượng trong đúng khung giờ, kịch bản chạy THEN.
2. Loa phát đúng tệp chào mừng, âm lượng 70%.
3. Màn hình LED hiển thị đúng video giới thiệu.
4. Camera ghi nhận/chụp ảnh theo cấu hình.
5. Khi không đủ điều kiện, màn hình giữ nội dung mặc định hoặc kịch bản không trigger theo policy thống nhất.
6. giao diện monitoring thể hiện rõ kịch bản đã chạy nhánh THEN/ELSE hoặc không trigger.</t>
  </si>
  <si>
    <t>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 | LƯU Ý: Cảm biến mực nước/ngập lụt hiện KHÔNG có thiết bị vật lý thật hoạt động (catalog báo Offline), dữ liệu điều kiện chỉ là giả lập.</t>
  </si>
  <si>
    <t>Luồng nghiệp vụ - Cảnh báo thời tiết nắng nóng</t>
  </si>
  <si>
    <t>RE-BIZ-FLOW-002-001</t>
  </si>
  <si>
    <t>Kiểm tra mẫu cảnh báo nắng nóng theo cảm biến môi trường + camera.</t>
  </si>
  <si>
    <t>1. Tạo kịch bản Smart Environment.
2. Cấu hình thời gian WEEKLY T2-T6 10:30-14:00.
3. Cấu hình IF: Nhiệt độ &gt; 34°C AND Camera AI Đếm đối tượng &gt; 0.
4. Cấu hình THEN: Loa phát cảnh báo âm lượng 70% trong 30 giây.
5. Cấu hình ELSE: Giữ nguyên trạng thái hiện có.
6. Kích hoạt dữ liệu giả lập event trong và ngoài ngưỡng.</t>
  </si>
  <si>
    <t>1. Trong khung giờ, nếu nhiệt độ &gt;34°C và có người, loa phát đúng nội dung cảnh báo.
2. Nếu không có người hoặc nhiệt độ &lt;=34°C, không phát cảnh báo gây nhiễu.
3. ELSE giữ nguyên trạng thái hiện có.
4. giao diện monitoring ghi nhận điều kiện nào đạt/không đạt.</t>
  </si>
  <si>
    <t>Action: Môi trường: 300 giây | 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 | LƯU Ý: Cảm biến mực nước/ngập lụt hiện KHÔNG có thiết bị vật lý thật hoạt động (catalog báo Offline), dữ liệu điều kiện chỉ là giả lập.</t>
  </si>
  <si>
    <t>Kiểm thử đơn vị - Mapper hiển thị Kịch bản tự động</t>
  </si>
  <si>
    <t>RE-UNIT-001-001</t>
  </si>
  <si>
    <t>Kiểm tra bộ ánh xạ phân loại theo tài liệu PSD/dịch vụ.</t>
  </si>
  <si>
    <t>Có source code FE/bộ ánh xạ/kiểm tra hợp lệ hoặc module helper tương ứng; có thể chạy unit test không cần mở trình duyệt và không gọi dịch vụ/thiết bị thật.</t>
  </si>
  <si>
    <t>1. Gọi bộ ánh xạ với ENERGY_SAVING, SAFETY_SECURITY, SMART_ENVIRONMENT, TRAFFIC_SUPPORT, EMERGENCY_RESPONSE, INFO_COMMUNICATION, PUBLIC_SERVICE.
2. Gọi bộ ánh xạ với phân loại dữ liệu rỗng/không xác định.
3. Đối chiếu nhãn output.</t>
  </si>
  <si>
    <t>1. Mỗi danh sách chọn map đúng nhãn tiếng Việt thống nhất với danh sách chọn/danh sách/biểu mẫu.
2. Không xác định/dữ liệu rỗng không làm giao diện hiển thị dữ liệu rỗng/sai; phải trả nội dung thay thế dễ hiểu như Không xác định.
3. Không lẫn English nhãn khi giao diện đang chọn tiếng Việt.</t>
  </si>
  <si>
    <t>RE-UNIT-001-002</t>
  </si>
  <si>
    <t>Kiểm tra bộ ánh xạ trạng thái cấu hình và trạng thái thực thi.</t>
  </si>
  <si>
    <t>1. Gọi bộ ánh xạ trạng thái cấu hình với Bản nháp, Đang bật, Đang tắt, Lưu trữ.
2. Gọi bộ ánh xạ trạng thái thực thi với Đang chờ, Đang chạy, Tạm dừng, Hoàn thành, Thất bại, Đã hủy.
3. Gọi bộ ánh xạ với trạng thái không xác định.
4. Đối chiếu nhãn và màu hiển thị.</t>
  </si>
  <si>
    <t>1. Trạng thái cấu hình map đúng Bản nháp, Đang bật, Đang tắt, Lưu trữ.
2. Trạng thái thực thi map đúng Đang chờ, Đang chạy, Tạm dừng, Hoàn thành, Thất bại, Đã hủy.
3. Màu trạng thái nhất quán theo tài liệu PSD; trạng thái không xác định có nội dung thay thế an toàn.
4. Không map nhầm trạng thái cấu hình với trạng thái thực thi.</t>
  </si>
  <si>
    <t>Kiểm thử đơn vị - Kiểm tra hợp lệ biểu mẫu tạo kịch bản</t>
  </si>
  <si>
    <t>RE-UNIT-002-001</t>
  </si>
  <si>
    <t>Kiểm tra kịch bản kiểm tra hợp lệ trước khi submit.</t>
  </si>
  <si>
    <t>1. Validate tên rỗng trong chế độ auto-name.
2. Validate tên 255 và 256 ký tự.
3. Validate mô tả rỗng, 500 và 501 ký tự.
4. Validate trim khoảng trắng đầu/cuối.</t>
  </si>
  <si>
    <t>1. Tên rỗng được phép nếu business auto-generate name khi lưu draft.
2. Tên 255 ký tự hợp lệ, 256 ký tự bị chặn hoặc báo lỗi.
3. Mô tả bắt buộc nếu tài liệu PSD/logic hiện tại yêu cầu.
4. Chuỗi toàn khoảng trắng không được xem là dữ liệu hợp lệ.</t>
  </si>
  <si>
    <t>RE-UNIT-002-002</t>
  </si>
  <si>
    <t>Kiểm tra bộ kiểm tra hợp lệ không cho kịch bản thiếu logic chạy.</t>
  </si>
  <si>
    <t>1. Validate kịch bản chỉ có thông tin chung, không có điều kiện.
2. Validate kịch bản có điều kiện nhưng không có THEN hành động.
3. Validate kịch bản có hành động thiếu thiết bị/hành động/thông số bắt buộc.
4. Validate ELSE hành động optional theo business.</t>
  </si>
  <si>
    <t>1. Kịch bản Bản nháp có thể lưu tùy policy, nhưng Đang bật không được thiếu điều kiện/hành động bắt buộc.
2. Message lỗi chỉ rõ section/trường thiếu.
3. Không trả thô cấu trúc dữ liệu path khó hiểu cho người dùng.
4. ELSE optional nhưng nếu đã thêm thì phải đủ trường.</t>
  </si>
  <si>
    <t>Kiểm thử đơn vị - Builder dữ liệu JSON/Mô tả</t>
  </si>
  <si>
    <t>RE-UNIT-003-001</t>
  </si>
  <si>
    <t>Kiểm tra dữ liệu nhập ở thẻ Mô tả sinh dữ liệu JSON đúng cấu trúc dữ liệu.</t>
  </si>
  <si>
    <t>1. Tạo object biểu mẫu có 1 group điều kiện LED brightness &gt;= 70.
2. Tạo THEN hành động LED brightness 80.
3. Serialize sang dữ liệu JSON kịch bản.
4. Đối chiếu trigger, điều kiệnLogic, thenBlock, elseBlock.</t>
  </si>
  <si>
    <t>1. dữ liệu JSON có đúng phân loại, độ ưu tiên, trigger, điều kiệnLogic, thenBlock.
2. Giữ đúng thiết bịId/thiết bịName/thông số/toán tử/giá trị/unit.
3. Không sinh trường dữ liệu rỗng/sai không cần thiết.
4. Không mất dữ liệu khi có ELSE hành động.</t>
  </si>
  <si>
    <t>RE-UNIT-003-002</t>
  </si>
  <si>
    <t>Kiểm tra dữ liệu JSON hợp lệ render lại đúng biểu mẫu mô tả.</t>
  </si>
  <si>
    <t>1. Parse dữ liệu JSON kịch bản hợp lệ từ dịch vụ/mẫu kịch bản/nhập.
2. Map về biểu mẫu chế độl.
3. Đối chiếu section thông tin chung, điều kiện, THEN, ELSE.
4. Test dữ liệu JSON thiếu trường và extra trường.</t>
  </si>
  <si>
    <t>1. dữ liệu JSON hợp lệ render đúng block điều kiện/hành động.
2. Thiếu trường bắt buộc trả lỗi dễ hiểu.
3. Extra trường không làm crash; xử lý theo policy strict/ignore.
4. Không render dữ liệu rỗng/sai ra giao diện.</t>
  </si>
  <si>
    <t>giao diện/trải nghiệm giao diện - Đối chiếu tài liệu PSD và thiết kế Figma</t>
  </si>
  <si>
    <t>RE-UX-PSD-FIGMA-001-001</t>
  </si>
  <si>
    <t>Kiểm tra cấu trúc màn danh sách Kịch bản tự động.</t>
  </si>
  <si>
    <t>Có tài liệu PSD mục Kịch bản tự động và wireframe thiết kế Figma được cấp quyền đọc/export; giao diện đang chọn tiếng Việt; viewport 1920x1080.</t>
  </si>
  <si>
    <t>1. Mở Kịch bản tự động ở viewport 1920x1080.
2. Đối chiếu đầu trang, KPI, thẻ, bộ lọc, thẻle, pagination với tài liệu PSD/thiết kế Figma.
3. Kiểm tra spacing không vỡ layout.
4. Kiểm tra text không bị che/overlap.</t>
  </si>
  <si>
    <t>1. Header hiển thị Quản lý kịch bản hệ thống.
2. Có KPI tổng quan, thẻ Giám sát kịch bản/Kịch bản cấu hình.
3. Bộ lọc nằm đúng vùng trên thẻle.
4. Thẻle/pagination không bị vỡ, không overlap text/biểu tượng.</t>
  </si>
  <si>
    <t>RE-UX-PSD-FIGMA-001-002</t>
  </si>
  <si>
    <t>Kiểm tra biểu mẫu builder có đủ vùng chức năng.</t>
  </si>
  <si>
    <t>1. Bấm Thêm mới.
2. Đối chiếu breadcrumb/tiêu đề và các section.
3. Kiểm tra nút Xóa thay đổi, Dùng mẫu, Lưu.
4. Kiểm tra vùng điều kiện/hành động/dữ liệu JSON không overlap.</t>
  </si>
  <si>
    <t>1. Biểu mẫu có đủ THÔNG TIN CHUNG, THỜI GIAN ÁP DỤNG nếu tài liệu PSD còn yêu cầu, CHI TIẾT KỊCH BẢN, ĐIỀU KIỆN, HÀNH ĐỘNG THEN/ELSE.
2. Button bar đúng vị trí và không bị che.
3. Thẻ Mô tả/dữ liệu JSON rõ ràng.
4. Empty state hướng dẫn bằng tiếng Việt.</t>
  </si>
  <si>
    <t>RE-UX-PSD-FIGMA-001-003</t>
  </si>
  <si>
    <t>Kiểm tra text chính, chú thích khi rê chuột, trạng thái chưa có dữ liệu và kiểm tra hợp lệ.</t>
  </si>
  <si>
    <t>1. Chuyển ngôn ngữ sang tiếng Việt.
2. Kiểm tra menu/sidebar/đầu trang/danh sách/biểu mẫu/mẫu kịch bản/chi tiết.
3. Hover/focus chỉ có biểu tượng nút.
4. Gây kiểm tra hợp lệ lỗi bắt buộc và đọc thông báo.</t>
  </si>
  <si>
    <t>1. Text nhìn thấy dùng tiếng Việt thống nhất.
2. Tooltip/tiêu đề/nhãn hỗ trợ truy cập của chỉ có biểu tượng cũng là tiếng Việt.
3. Kiểm tra hợp lệ/thông báo không dùng lỗi kỹ thuật thô tiếng Anh hoặc lỗi kỹ thuật hệ thống.
4. Các thuật ngữ giống tài liệu PSD/thiết kế Figma hoặc đã có quyết định copy mới.</t>
  </si>
  <si>
    <t>RE-UX-PSD-FIGMA-001-004</t>
  </si>
  <si>
    <t>Kiểm tra giao diện không vỡ ở dữ liệu rỗng, lỗi dịch vụ và viewport phổ biến.</t>
  </si>
  <si>
    <t>1. Dữ liệu giả lập danh sách rỗng.
2. Dữ liệu giả lập dịch vụ stats/danh sách/mẫu kịch bản lỗi 500/timeout.
3. Mở viewport desktop 1920x1080 và thẻlet/mobile nếu nằm phạm vi.
4. Quan sát empty/lỗi state.</t>
  </si>
  <si>
    <t>1. Empty state nói rõ chưa có dữ liệu và hành động tiếp theo nếu có.
2. dịch vụ lỗi hiển thị thông báo dễ hiểu, không crash/trắng trang.
3. Không hiển thị dữ liệu rỗng/sai.
4. Responsive không overlap text/nút/thẻle.</t>
  </si>
  <si>
    <t>Tích hợp - Luồng đầu cuối dữ liệu kịch bản</t>
  </si>
  <si>
    <t>RE-INT-FULL-001-001</t>
  </si>
  <si>
    <t>Kiểm tra kịch bản tạo mới xuất hiện ở danh sách và chi tiết.</t>
  </si>
  <si>
    <t>Site môi trường phát triển hoặc Playwright đường dẫn dữ liệu giả lập có dữ liệu test dấu vết lỗiable; không thao tác thiết bị thật; dữ liệu test dùng prefix AUTO_giao diện_CODEX và dọn dữ liệu sau test nếu có tạo thật.</t>
  </si>
  <si>
    <t>1. Mở biểu mẫu Thêm mới.
2. Nhập tên/mô tả/phân loại/ưu tiên.
3. Thêm 1 nhóm điều kiện LED hợp lệ.
4. Thêm 1 hành động THEN LED hợp lệ.
5. Bấm Lưu bản nháp.
6. Tìm kiếm tên trên danh sách.
7. Bấm tên màu xanh để mở chi tiết hoạt động.</t>
  </si>
  <si>
    <t>1. Lưu draft thành công.
2. Danh sách hiển thị đúng tên, phân loại, điều kiện, trạng thái, độ ưu tiên.
3. Bấm tên mở chi tiết/luồng.
4. Chi tiết hiển thị điều kiện/hành động vừa tạo, không dữ liệu rỗng/sai.</t>
  </si>
  <si>
    <t>RE-INT-FULL-001-002</t>
  </si>
  <si>
    <t>Kiểm tra sửa kịch bản không mất dữ liệu cũ.</t>
  </si>
  <si>
    <t>1. Tạo hoặc chọn kịch bản draft prefix AUTO_giao diện_CODEX.
2. Bấm biểu tượng Sửa.
3. Đổi mô tả/độ ưu tiên.
4. Bấm Lưu.
5. Quay lại danh sách và mở chi tiết.
6. Đối chiếu dữ liệu mới/cũ.</t>
  </si>
  <si>
    <t>1. Biểu mẫu edit load đủ dữ liệu kịch bản cũ.
2. Sau lưu, mô tả/độ ưu tiên cập nhật đúng.
3. Điều kiện/hành động cũ không bị mất.
4. Cột Cập nhật gần nhất thay đổi hợp lý.</t>
  </si>
  <si>
    <t>RE-INT-FULL-001-003</t>
  </si>
  <si>
    <t>Kiểm tra xóa kịch bản test an toàn.</t>
  </si>
  <si>
    <t>1. Tạo kịch bản draft prefix AUTO_giao diện_DELETE_CODEX.
2. Tìm kiếm kịch bản trên danh sách.
3. Bấm biểu tượng Xóa.
4. Bấm Hủy và xác nhận kịch bản còn.
5. Bấm Xóa lại và xác nhận.
6. Tìm kiếm lại tên kịch bản.</t>
  </si>
  <si>
    <t>1. Xóa có confirm rõ ràng.
2. Hủy không xóa.
3. Xác nhận xóa thì kịch bản biến mất khỏi danh sách.
4. Không xóa nhầm kịch bản khác.</t>
  </si>
  <si>
    <t>Tích hợp - Mẫu kịch bản/dữ liệu JSON</t>
  </si>
  <si>
    <t>RE-INT-FULL-002-001</t>
  </si>
  <si>
    <t>Kiểm tra mẫu kịch bản không tự lưu kịch bản.</t>
  </si>
  <si>
    <t>1. Mở biểu mẫu Thêm mới.
2. Bấm Dùng mẫu.
3. Chọn mẫu kịch bản Đón đoàn khách/Tiết kiệm chiếu sáng.
4. Bấm Dùng mẫu trong cửa sổ chọn.
5. Quan sát dữ liệu đổ vào biểu mẫu.
6. Sửa tên/mô tả rồi lưu draft.</t>
  </si>
  <si>
    <t>1. Modal mẫu kịch bản mở và chọn được item.
2. Apply mẫu kịch bản đóng cửa sổ chọn và đổ dữ liệu vào biểu mẫu.
3. Người dùng chỉnh sửa được trước khi lưu.
4. Không tự tạo kịch bản nếu chỉ chọn mẫu kịch bản mà chưa bấm Lưu.</t>
  </si>
  <si>
    <t>RE-INT-FULL-002-002</t>
  </si>
  <si>
    <t>Kiểm tra tính năng thêm mới bằng tệp dữ liệu JSON end-to-end.</t>
  </si>
  <si>
    <t>1. Mở biểu mẫu Thêm mới.
2. Mở thẻ/chức năng dữ liệu JSON.
3. Bấm Chọn tệp/Nhập từ tệp dữ liệu JSON.
4. Tải lên valid_kịch bản_draft.json.
5. Quan sát xem trước/biểu mẫu sau nhập.
6. Bấm Lưu draft và tìm kiếm trên danh sách.</t>
  </si>
  <si>
    <t>1. giao diện có điểm thao tác nhập tệp dữ liệu JSON.
2. File hợp lệ render thành thông tin chung/điều kiện/hành động.
3. Không tự lưu trước khi người dùng bấm Lưu.
4. Sau Lưu, kịch bản xuất hiện trên danh sách đúng dữ liệu tệp.</t>
  </si>
  <si>
    <t>Ma trận trạng thái - Đang chờ</t>
  </si>
  <si>
    <t>RE-STATUS-MATRIX-001-001</t>
  </si>
  <si>
    <t>Kiểm tra dòng kịch bản đang chờ trên giao diện Giám sát kịch bản.</t>
  </si>
  <si>
    <t>Người dùng đã mở Kịch bản tự động; có ít nhất một kịch bản/thực thi record ở trạng thái cần kiểm tra hoặc có dữ liệu giả lập thực thi được phép tạo trạng thái; không thao tác thiết bị thật ngoài phạm vi test.</t>
  </si>
  <si>
    <t>1. Mở thẻ Giám sát kịch bản.
2. Tìm dòng kịch bản có trạng thái Đang chờ.
3. Mở menu thao tác của dòng hoặc cửa sổ chi tiết chi tiết bằng tên kịch bản.
4. Quan sát các thao tác đang hiển thị.
5. Nếu dùng dữ liệu test, bấm Hủy bỏ và quan sát lại trạng thái.</t>
  </si>
  <si>
    <t>1. Cột Trạng thái hiển thị badge Đang chờ đúng dòng kịch bản.
2. Menu/cửa sổ chi tiết chỉ hiển thị thao tác phù hợp với trạng thái chờ, ví dụ Xem chi tiết và Hủy bỏ nếu hệ thống hỗ trợ hủy.
3. Không hiển thị Tạm dừng vì kịch bản chưa ở trạng thái Đang chạy.
4. Nếu bấm Hủy bỏ, giao diện cập nhật sang Đã hủy hoặc hiển thị thông báo hủy thành công.
5. Không gửi lệnh điều khiển thiết bị khi kịch bản vẫn đang chờ.</t>
  </si>
  <si>
    <t>1. Dữ liệu giả lập dịch vụ trả thực thi record Đang chờ/Đang chờ cho thẻ giám sát/danh sách.
2. giao diện mở được với dữ liệu dữ liệu giả lập, không gọi dịch vụ thật cho Kịch bản tự động data.
3. Case transition Hủy bỏ vẫn cần nút hành động thật trên giao diện để bấm tiếp nếu màn hỗ trợ.</t>
  </si>
  <si>
    <t>Ma trận trạng thái - Đang chạy</t>
  </si>
  <si>
    <t>RE-STATUS-MATRIX-002-001</t>
  </si>
  <si>
    <t>Kiểm tra dòng kịch bản đang chạy trên giao diện Giám sát kịch bản.</t>
  </si>
  <si>
    <t>1. Mở thẻ Giám sát kịch bản.
2. Tìm dòng kịch bản có trạng thái Đang chạy.
3. Mở menu thao tác của dòng hoặc cửa sổ chi tiết chi tiết bằng tên kịch bản.
4. Quan sát thao tác vận hành đang hiển thị.
5. Nếu dùng dữ liệu test, bấm Tạm dừng và quan sát lại trạng thái.</t>
  </si>
  <si>
    <t>1. Cột Trạng thái hiển thị badge Đang chạy đúng dòng kịch bản.
2. Menu/cửa sổ chi tiết hiển thị thao tác phù hợp với kịch bản đang chạy, ví dụ Xem chi tiết và Tạm dừng nếu hệ thống hỗ trợ.
3. Không hiển thị Tiếp tục khi kịch bản chưa bị tạm dừng.
4. Nếu bấm Tạm dừng, giao diện cập nhật sang Tạm dừng hoặc hiển thị thông báo tạm dừng thành công.
5. Nếu thao tác thiết bị lỗi, giao diện phải chuyển sang Thất bại và hiển thị lý do dễ hiểu.</t>
  </si>
  <si>
    <t>1. Dữ liệu giả lập dịch vụ trả thực thi record Đang chạy/Đang chạy.
2. giao diện load không crash khi có trạng thái đang xử lý.
3. Chưa gửi lệnh thiết bị thật; đây là kiểm thử hiển thị giao diện với data dữ liệu giả lập.</t>
  </si>
  <si>
    <t>Kịch bản cố định 01 - Đón đoàn khách tham quan</t>
  </si>
  <si>
    <t>RE-FIXED-001</t>
  </si>
  <si>
    <t>Kiểm tra tạo và vận hành đầy đủ kịch bản Đón đoàn khách tham quan gồm thông tin chung, điều kiện, hành động THEN/ELSE và chi tiết sau khi chạy.</t>
  </si>
  <si>
    <t>Người dùng đã đăng nhập hệ thống Smart Pole; giao diện đang chọn tiếng Việt; truy cập được trang Rule Engine; có quyền thêm mới kịch bản; phân loại là dữ liệu người dùng chọn tự do nên không dùng làm tiêu chí đánh giá pass/fail.
Dữ liệu điều kiện kích hoạt được phép giả lập; kết quả hành động chỉ được đánh giá PASS sau khi kiểm tra output thực tế trên thiết bị test.
URL nội dung web hợp lệ cho màn hình LED: http://192.168.111.8:9002/smart-pole-media/static-led/dashboard/index.html</t>
  </si>
  <si>
    <t>1. Mở trang Rule Engine và bấm Thêm mới.
2. Nhập tên kịch bản Đón đoàn khách tham quan; chọn một phân loại phù hợp, ví dụ Thông tin và truyền thông. Phân loại chỉ là dữ liệu nhập, không dùng để đánh fail/pass.
3. Cấu hình thời gian áp dụng Custom 10:30-11:00 ngày 21/07/2026.
4. Thêm nhóm điều kiện VÀ gồm Camera AI đếm đối tượng &gt;= 4, vùng nhận diện là khu vực cổng/trước trụ, camera đang hoạt động và đúng khung giờ áp dụng.
5. Cấu hình THEN gồm Loa phát file chào mừng, Màn hình LED hiển thị video/nội dung giới thiệu, Camera chụp ảnh và Thông báo hệ thống nếu form hỗ trợ.
6. Cấu hình ELSE Màn hình LED giữ lịch/nội dung mặc định.
7. Bấm Lưu hoặc Kích hoạt rồi lưu.
8. Mở danh sách/giám sát, bấm tên kịch bản màu xanh để xem chi tiết hoạt động nếu có lượt chạy.
9. Khi cấu hình hành động Màn hình LED loại web, nhập URL http://192.168.111.8:9002/smart-pole-media/static-led/dashboard/index.html
10. Phát dữ liệu giả lập làm điều kiện đạt, sau đó quan sát nội dung trên màn hình LED thật hoặc Streaming Preview của thiết bị.</t>
  </si>
  <si>
    <t>1. Kịch bản lưu thành công khi các điều kiện và hành động hợp lệ.
2. Danh sách hiển thị kịch bản vừa tạo, không bắt buộc phân loại phải khớp tuyệt đối với tên kịch bản.
3. Chi tiết kịch bản hiển thị đủ nhóm điều kiện: số người &gt;= 4, vùng nhận diện, trạng thái camera và thời gian áp dụng.
4. Khi đủ điều kiện, hệ thống thực hiện các hành động THEN: phát loa chào mừng, hiển thị nội dung LED, chụp ảnh và ghi nhận thông báo nếu có.
5. Khi không đủ điều kiện, hệ thống không phát loa sai thời điểm và giữ nội dung mặc định theo ELSE.
6. Chi tiết hoạt động thể hiện trạng thái từng hành động riêng, không báo thành công toàn bộ nếu một thiết bị lỗi.
7. Hệ thống chấp nhận URL hợp lệ và màn hình LED tải đúng trang LED Dashboard khi điều kiện đạt.
8. Chỉ ghi nhận hành động thành công khi output thực tế xuất hiện trên thiết bị/Streaming Preview; không dùng kết quả mock trên UI để kết luận PASS cho thiết bị.</t>
  </si>
  <si>
    <t>RETEST 07/09/2026: Tạo lại rule với điều kiện Camera (PTZ) - Đếm đối tượng &gt;=4, hành động THEN: System notification, Camera chụp ảnh, LED display, Speaker (4 hành động, đủ như spec). Dùng lịch Weekly cả tuần thay vì Custom 10:30-11:00 21/07/2026 (ngày cụ thể trong quá khứ/không phù hợp để test thời gian thực). Bơm dữ liệu giả lập qua API POST /api/v1/cameras/{id}/metrics/person-count (personCount=5) để kích hoạt điều kiện thật - rule tự trigger thành công. Xem chi tiết Execution flow: Điều kiện Đạt 1/1, THEN Thất bại 1/4 - cụ thể: (1) System notification: Thành công, (2) Camera chụp ảnh: Thành công, (3) LED display: Thành công, (4) Speaker: Thất bại (do gateway Zycoo lỗi 500 - xem ghi chú BUG liên quan, không phải lỗi Rule Engine). Hệ thống hiển thị ĐÚNG trạng thái từng hành động riêng lẻ, KHÔNG báo thành công giả toàn bộ khi 1 thiết bị lỗi - khớp đúng kết quả mong đợi #6.</t>
  </si>
  <si>
    <t>Đã retest với dữ liệu giả lập thật (Camera person-count API) - 3/4 hành động chạy đúng trên thiết bị thật (Camera/LED) hoặc software (Notification), riêng Speaker lỗi do vấn đề hạ tầng ngoài phạm vi Rule Engine. Lịch dùng Weekly thay vì Custom ngày cụ thể trong đề bài gốc.</t>
  </si>
  <si>
    <t>Kịch bản cố định 02 - Cảnh báo thời tiết nắng nóng</t>
  </si>
  <si>
    <t>RE-FIXED-002</t>
  </si>
  <si>
    <t>Kiểm tra tạo và vận hành đầy đủ kịch bản Cảnh báo thời tiết nắng nóng gồm điều kiện nhiệt độ, có người, thời gian áp dụng và hành động cảnh báo.</t>
  </si>
  <si>
    <t>1. Mở trang Rule Engine và bấm Thêm mới.
2. Nhập tên kịch bản Cảnh báo thời tiết nắng nóng; chọn một phân loại phù hợp, ví dụ Môi trường thông minh. Phân loại chỉ là dữ liệu nhập, không dùng để đánh fail/pass.
3. Cấu hình thời gian áp dụng hằng tuần từ thứ Hai đến thứ Sáu, 10:30-14:00.
4. Thêm nhóm điều kiện VÀ gồm Nhiệt độ &gt; 34°C, Camera AI đếm đối tượng &gt; 0 và cảm biến môi trường đang hoạt động nếu form hỗ trợ.
5. Cấu hình THEN gồm Loa phát cảnh báo nắng nóng, Màn hình LED hiển thị khuyến cáo sức khỏe và Thông báo hệ thống nếu form hỗ trợ.
6. Cấu hình ELSE giữ trạng thái/nội dung hiện tại.
7. Bấm Lưu hoặc Kích hoạt rồi lưu.
8. Kiểm tra lại chi tiết kịch bản và giám sát khi có dữ liệu test.
9. Khi cấu hình hành động Màn hình LED loại web, nhập URL http://192.168.111.8:9002/smart-pole-media/static-led/dashboard/index.html
10. Phát dữ liệu giả lập làm điều kiện đạt, sau đó quan sát nội dung trên màn hình LED thật hoặc Streaming Preview của thiết bị.</t>
  </si>
  <si>
    <t>1. Kịch bản lưu thành công khi điều kiện nhiệt độ, camera, thời gian và hành động hợp lệ.
2. Điều kiện nhiệt độ hiển thị đúng toán tử &gt; 34°C và đơn vị °C.
3. Kịch bản chỉ cảnh báo khi nhiệt độ vượt 34°C, có người và đúng khung giờ áp dụng.
4. Ở 34°C hoặc thấp hơn, hoặc không có người, hoặc ngoài khung giờ, hệ thống không phát cảnh báo.
5. Khi đủ điều kiện, loa/LED/thông báo chạy đúng cấu hình.
6. Nếu loa hoặc thiết bị cảnh báo lỗi, chi tiết hoạt động hiển thị lỗi riêng, không báo thành công toàn bộ.
7. Hệ thống chấp nhận URL hợp lệ và màn hình LED tải đúng trang LED Dashboard khi điều kiện đạt.
8. Chỉ ghi nhận hành động thành công khi output thực tế xuất hiện trên thiết bị/Streaming Preview; không dùng kết quả mock trên UI để kết luận PASS cho thiết bị.</t>
  </si>
  <si>
    <t>1. Tạo kịch bản Kịch bản cố định 02 - Cảnh báo thời tiết nắng nóng từ giao diện Dùng mẫu: thành công.
2. Mở lại chỉnh sửa và kiểm tra Nhiệt độ, Camera và hành động LED.
3. /Nhiệt độ/i: có hiển thị.
4. /Camera DC|đếm đối tượng/i: có hiển thị.
5. /Màn hình LED|Hiển thị nội dung/i: có hiển thị.</t>
  </si>
  <si>
    <t>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t>
  </si>
  <si>
    <t>Kịch bản cố định 03 - Cảnh báo xâm nhập ngoài giờ</t>
  </si>
  <si>
    <t>RE-FIXED-003</t>
  </si>
  <si>
    <t>Kiểm tra tạo và vận hành đầy đủ kịch bản Cảnh báo xâm nhập ngoài giờ gồm vùng nhận diện, thời gian ngoài giờ và nhiều hành động an ninh.</t>
  </si>
  <si>
    <t>1. Mở trang Rule Engine và bấm Thêm mới.
2. Nhập tên kịch bản Cảnh báo xâm nhập ngoài giờ; chọn một phân loại phù hợp, ví dụ An toàn và an ninh. Phân loại chỉ là dữ liệu nhập, không dùng để đánh fail/pass.
3. Cấu hình thời gian áp dụng ngoài giờ 20:00-06:00.
4. Thêm nhóm điều kiện gồm Camera phát hiện chuyển động trong vùng nhận diện &gt;= 30 giây, đúng khung giờ ngoài giờ và camera đang hoạt động.
5. Nếu form hỗ trợ, thêm nhánh điều kiện SOS như nguồn kích hoạt khẩn cấp riêng.
6. Cấu hình THEN gồm Đèn LED 80%, Camera ghi hình 60 giây, Màn hình LED cảnh báo, Loa cảnh báo và Thông báo hệ thống.
7. Cấu hình ELSE giữ lịch chiếu sáng ban đêm hoặc trạng thái hiện tại.
8. Bấm Lưu hoặc Kích hoạt rồi lưu; mở chi tiết hoạt động khi có lượt chạy.
9. Khi cấu hình hành động Màn hình LED loại web, nhập URL http://192.168.111.8:9002/smart-pole-media/static-led/dashboard/index.html
10. Phát dữ liệu giả lập làm điều kiện đạt, sau đó quan sát nội dung trên màn hình LED thật hoặc Streaming Preview của thiết bị.</t>
  </si>
  <si>
    <t>1. Kịch bản lưu thành công khi vùng nhận diện, thời gian và hành động hợp lệ.
2. Chỉ chuyển động trong vùng nhận diện và ngoài giờ mới kích hoạt cảnh báo.
3. Chuyển động ngoài vùng nhận diện hoặc trong giờ không kích hoạt cảnh báo xâm nhập.
4. Khi đủ điều kiện, hệ thống bật đèn, ghi hình, hiển thị LED, phát loa và ghi nhận thông báo theo cấu hình.
5. Nếu có nhánh SOS, chi tiết hoạt động phải thể hiện rõ nguồn kích hoạt.
6. Nếu một thiết bị lỗi/offline, UI hiển thị thiết bị lỗi và lý do rõ ràng; không gửi lệnh lặp vô hạn.
7. Hệ thống chấp nhận URL hợp lệ và màn hình LED tải đúng trang LED Dashboard khi điều kiện đạt.
8. Chỉ ghi nhận hành động thành công khi output thực tế xuất hiện trên thiết bị/Streaming Preview; không dùng kết quả mock trên UI để kết luận PASS cho thiết bị.</t>
  </si>
  <si>
    <t>RETEST 07/09/2026: Tạo lại rule với điều kiện Camera (PTZ) - Phát hiện xâm nhập = true, THEN (Sequential): Lighting (Set brightness 10%), Notification, Camera snapshot, LED display, Speaker. Bơm dữ liệu giả lập qua API POST /api/v1/cameras/{id}/metrics/intrusion (active=true) để kích hoạt điều kiện thật - rule trigger thành công (Đạt 1/1). THEN Thất bại 5/5: hành động #1 (Lighting) bị từ chối với lý do RÕ RÀNG "Bị lịch hoặc kịch bản ưu tiên cao hơn chiếm quyền" (mã lỗi RUN_LIGHTING_PREEMPTED - do rule này để Priority mặc định Medium, có schedule/rule khác ưu tiên cao hơn đang giữ quyền điều khiển Dimming-Light) - đây là cơ chế phân xử ưu tiên hoạt động ĐÚNG, không phải bug. Do Execution=Sequential, các hành động #2-5 (Notification/Camera/LED/Speaker) bị "Đã hủy" theo đúng thiết kế dừng khi có lỗi đầu tiên, nên CHƯA verify được các hành động này chạy thật trong lượt test này.</t>
  </si>
  <si>
    <t>Cơ chế báo lỗi/lý do rõ ràng khi thiết bị bị chiếm quyền hoạt động đúng (khớp kết quả mong đợi #6). Để verify đủ Notification/Camera/LED/Speaker cần: đổi Priority rule này lên High hơn schedule đang giữ Dimming-Light, hoặc đổi Execution sang Parallel, hoặc bỏ Lighting khỏi THEN khi test riêng các hành động còn lại.</t>
  </si>
  <si>
    <t>Kịch bản cố định 04 - Cảnh báo ngập lụt di chuyển</t>
  </si>
  <si>
    <t>RE-FIXED-004</t>
  </si>
  <si>
    <t>Kiểm tra tạo và vận hành đầy đủ kịch bản Cảnh báo ngập lụt di chuyển gồm điều kiện mực nước/tốc độ dâng và hành động hướng dẫn di chuyển.</t>
  </si>
  <si>
    <t>1. Mở trang Rule Engine và bấm Thêm mới.
2. Nhập tên kịch bản Cảnh báo ngập lụt di chuyển; chọn một phân loại phù hợp, ví dụ Ứng phó khẩn cấp. Phân loại chỉ là dữ liệu nhập, không dùng để đánh fail/pass.
3. Cấu hình thời gian áp dụng luôn áp dụng hoặc theo phạm vi tài liệu.
4. Thêm nhóm điều kiện gồm Mực nước &gt; 0.5 cm hoặc Tốc độ nước dâng &gt; 2 cm/phút.
5. Nếu form hỗ trợ, thêm điều kiện thời gian ngập liên tục &gt;= 5 phút và cảm biến đang hoạt động để tránh cảnh báo nhiễu.
6. Cấu hình THEN gồm Màn hình LED cảnh báo di chuyển, Loa cảnh báo, Thông báo hệ thống và Camera chụp ảnh hiện trường.
7. Cấu hình ELSE hiển thị dashboard/chỉ số môi trường hoặc giữ nội dung mặc định.
8. Bấm Lưu hoặc Kích hoạt rồi lưu; mở chi tiết hoạt động khi có lượt chạy.
9. Khi cấu hình hành động Màn hình LED loại web, nhập URL http://192.168.111.8:9002/smart-pole-media/static-led/dashboard/index.html
10. Phát dữ liệu giả lập làm điều kiện đạt, sau đó quan sát nội dung trên màn hình LED thật hoặc Streaming Preview của thiết bị.</t>
  </si>
  <si>
    <t>1. Kịch bản lưu thành công khi điều kiện ngập và hành động hợp lệ.
2. UI hiển thị đúng đơn vị cm và cm/phút, không nhầm giá trị mực nước với tốc độ dâng.
3. Mực nước vượt ngưỡng hoặc tốc độ dâng vượt ngưỡng có thể kích hoạt cảnh báo theo logic đã cấu hình.
4. Giá trị bằng ngưỡng không kích hoạt nếu toán tử là lớn hơn.
5. Dữ liệu âm, rỗng hoặc sai kiểu không được kích hoạt cảnh báo thành công giả.
6. Khi đủ điều kiện, LED/loa/thông báo/camera chạy đúng cấu hình và chi tiết hoạt động hiển thị từng hành động riêng.
7. Hệ thống chấp nhận URL hợp lệ và màn hình LED tải đúng trang LED Dashboard khi điều kiện đạt.
8. Chỉ ghi nhận hành động thành công khi output thực tế xuất hiện trên thiết bị/Streaming Preview; không dùng kết quả mock trên UI để kết luận PASS cho thiết bị.</t>
  </si>
  <si>
    <t>1. Tìm thấy và mở popup chi tiết kịch bản Cảnh báo ngập lụt di chuyển.
2. Điều kiện hiển thị Mực nước &gt; 0,5 cm HOẶC Tốc độ nước dâng &gt; 2 cm/phút.
3. Hành động màn hình LED dùng đúng URL dashboard http://192.168.111.8:9002/smart-pole-media/static-led/dashboard/index.html.
4. Có hành động phát âm thanh trên Intercom-Zycoo, âm lượng 80%.
5. Có hành động gửi thông báo WEB với nội dung cảnh báo ngập lụt.
6. Có hành động chụp ảnh tức thời bằng Camera DC.
7. Popup ghi nhận kịch bản đã lặp lại 3 lần.</t>
  </si>
  <si>
    <t>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 | LƯU Ý: Cảm biến mực nước/ngập lụt hiện KHÔNG có thiết bị vật lý thật hoạt động (catalog báo Offline), dữ liệu điều kiện chỉ là giả lập. | LƯU Ý: Nút nhấn khẩn cấp/Intercom hiện KHÔNG có thiết bị vật lý thật để test hành động gọi IOC thực tế; chỉ xác minh được qua cấu hình/API (tương tự Loa).</t>
  </si>
  <si>
    <t>Kịch bản cố định 05 - Truyền thông nội bộ theo giờ</t>
  </si>
  <si>
    <t>RE-FIXED-005</t>
  </si>
  <si>
    <t>Kiểm tra tạo và vận hành đầy đủ kịch bản Truyền thông nội bộ theo giờ gồm thời gian, đối tượng trong vùng và hành động phát nội dung.</t>
  </si>
  <si>
    <t>1. Mở trang Rule Engine và bấm Thêm mới.
2. Nhập tên kịch bản Truyền thông nội bộ theo giờ; chọn một phân loại phù hợp, ví dụ Thông tin và truyền thông. Phân loại chỉ là dữ liệu nhập, không dùng để đánh fail/pass.
3. Cấu hình thời gian áp dụng thứ Hai đến thứ Sáu, 07:00-08:00.
4. Thêm điều kiện Camera AI đếm đối tượng &gt; 0 tại lối vào nhân viên hoặc vùng nhận diện tương ứng.
5. Nếu form hỗ trợ, thêm điều kiện Loa đang hoạt động.
6. Cấu hình THEN gồm Loa phát thông báo nội bộ, Màn hình LED hiển thị nội dung nội bộ và Thông báo hệ thống.
7. Cấu hình hậu điều kiện sau khi phát xong quay về lịch/nội dung hiện tại nếu form hỗ trợ.
8. Bấm Lưu hoặc Kích hoạt rồi lưu; mở chi tiết hoạt động khi có lượt chạy.
9. Khi cấu hình hành động Màn hình LED loại web, nhập URL http://192.168.111.8:9002/smart-pole-media/static-led/dashboard/index.html
10. Phát dữ liệu giả lập làm điều kiện đạt, sau đó quan sát nội dung trên màn hình LED thật hoặc Streaming Preview của thiết bị.</t>
  </si>
  <si>
    <t>1. Kịch bản lưu thành công khi điều kiện thời gian, camera và hành động hợp lệ.
2. Trong đúng giờ và có người trong vùng nhận diện, loa và màn hình LED phát đúng nội dung nội bộ.
3. Ngoài giờ hoặc không có người, hệ thống không phát nội dung nội bộ.
4. Có người ngoài vùng lối vào nhân viên không kích hoạt nếu vùng nhận diện không khớp.
5. Sau khi phát xong, màn hình quay về lịch hiện tại hoặc nội dung mặc định theo policy.
6. Loa offline hoặc thiết bị lỗi phải được thể hiện rõ trong chi tiết hoạt động, không báo phát thành công giả.
7. Hệ thống chấp nhận URL hợp lệ và màn hình LED tải đúng trang LED Dashboard khi điều kiện đạt.
8. Chỉ ghi nhận hành động thành công khi output thực tế xuất hiện trên thiết bị/Streaming Preview; không dùng kết quả mock trên UI để kết luận PASS cho thiết bị.</t>
  </si>
  <si>
    <t>RETEST 07/09/2026: Tạo lại rule với điều kiện Camera (PTZ) - Đếm đối tượng &gt;=1, THEN: System notification, LED display, Speaker. Dùng lịch Weekly cả tuần thay vì khung giờ 07:00-08:00 cụ thể trong đề bài gốc. Bơm dữ liệu giả lập qua API POST /api/v1/cameras/{id}/metrics/person-count (personCount=2) - rule tự trigger thành công (Đạt 1/1). THEN Thất bại 1/3: (1) System notification: Thành công, (2) LED display: Thành công (thiết bị thật A3L-StreetLight-Display-01), (3) Speaker: Thất bại (gateway Zycoo lỗi 500 - vấn đề hạ tầng, không phải lỗi Rule Engine). Hệ thống hiển thị đúng trạng thái từng hành động, không báo thành công giả.</t>
  </si>
  <si>
    <t>Đã retest với dữ liệu giả lập thật - Notification/LED chạy đúng trên thiết bị thật/software, Speaker lỗi do hạ tầng ngoài phạm vi Rule Engine. Lịch dùng Weekly thay vì khung giờ cụ thể trong đề bài gốc.</t>
  </si>
  <si>
    <t>Kịch bản cố định 06 - Thông tin môi trường</t>
  </si>
  <si>
    <t>RE-FIXED-006</t>
  </si>
  <si>
    <t>Kiểm tra tạo và vận hành đầy đủ kịch bản Thông tin môi trường gồm nhiều chỉ số môi trường và hành động thông tin/cảnh báo.</t>
  </si>
  <si>
    <t>1. Mở trang Rule Engine và bấm Thêm mới.
2. Nhập tên kịch bản Thông tin môi trường; chọn một phân loại phù hợp, ví dụ Môi trường thông minh. Phân loại chỉ là dữ liệu nhập, không dùng để đánh fail/pass.
3. Cấu hình thời gian áp dụng luôn áp dụng hoặc theo phạm vi tài liệu.
4. Thêm nhóm điều kiện HOẶC gồm PM2.5 &gt;= 100 hoặc PM10 &gt;= 100 hoặc vượt ngưỡng trên theo cấu hình.
5. Nếu form hỗ trợ, thêm điều kiện cảm biến môi trường đang hoạt động.
6. Cấu hình THEN gồm Màn hình LED hiển thị chỉ số môi trường/khuyến cáo, Loa phát cảnh báo chất lượng không khí và Thông báo hệ thống.
7. Cấu hình ELSE hiển thị dashboard/chỉ số môi trường mặc định.
8. Bấm Lưu hoặc Kích hoạt rồi lưu; mở chi tiết hoạt động khi có lượt chạy.
9. Khi cấu hình hành động Màn hình LED loại web, nhập URL http://192.168.111.8:9002/smart-pole-media/static-led/dashboard/index.html
10. Phát dữ liệu giả lập làm điều kiện đạt, sau đó quan sát nội dung trên màn hình LED thật hoặc Streaming Preview của thiết bị.</t>
  </si>
  <si>
    <t>1. Kịch bản lưu thành công khi điều kiện môi trường và hành động hợp lệ.
2. Chỉ cần PM2.5 hoặc PM10 đạt một nhánh điều kiện thì kịch bản có thể kích hoạt theo logic HOẶC.
3. Nếu tất cả chỉ số dưới ngưỡng, hệ thống không phát cảnh báo sai.
4. UI hiển thị đúng tên chỉ số PM2.5/PM10 và đơn vị, không nhầm sang nhiệt độ hoặc độ ẩm.
5. Khi đủ điều kiện, LED/loa/thông báo chạy đúng nội dung môi trường.
6. Nếu cảm biến offline hoặc một action lỗi, chi tiết hoạt động hiển thị lỗi riêng, không báo thành công giả.
7. Hệ thống chấp nhận URL hợp lệ và màn hình LED tải đúng trang LED Dashboard khi điều kiện đạt.
8. Chỉ ghi nhận hành động thành công khi output thực tế xuất hiện trên thiết bị/Streaming Preview; không dùng kết quả mock trên UI để kết luận PASS cho thiết bị.</t>
  </si>
  <si>
    <t>RETEST 07/09/2026: Đã xóa và tạo lại kịch bản đúng theo spec gốc (PM2.5&gt;=100, LED display + Speaker + System notification, Enabled, Priority High). Xác nhận qua network response API backend (POST .../:save và :enable, HTTP 200): thenBlock.actions có ĐỦ 3 hành động (notification/PUSH, speaker/PLAY_AUDIO, multimedia/DISPLAY_MEDIA). Category=SMART_ENVIRONMENT, Status=ENABLED, điều kiện PM2.5&gt;=100 đúng spec. Đối chiếu UI (danh sách + popup chi tiết) khớp. Nguyên nhân của lần FAIL trước: automation test không điền các trường tham số bắt buộc ẩn của LED/Speaker (Screen mode/Content/Hold duration; Audio source/Audio file) khiến 2 hành động đó lưu thất bại âm thầm trong khi Notification (không có field phụ) luôn thành công - đây là lỗi của kịch bản test, không phải bug backend.</t>
  </si>
  <si>
    <t>Đã fix/retest OK - đủ 3 hành động (LED+Speaker+Notification), OR logic OK. LƯU Ý: Hệ thống hiện KHÔNG có loa vật lý thật (thiết bị Speaker chỉ tồn tại dưới dạng dữ liệu mô phỏng/giả lập). Việc kiểm tra hành động Loa (phát/dừng âm thanh) chỉ xác minh được qua cấu hình lưu trên backend (API/DB), KHÔNG thể xác minh âm thanh thực tế phát ra thiết bị.</t>
  </si>
  <si>
    <t>Kiểm tra  thời gian tồn tại hành động - Đèn chiếu sáng</t>
  </si>
  <si>
    <t>RE-ACTION-DELAY-001</t>
  </si>
  <si>
    <t>Kiểm tra hành động Đèn chiếu sáng tuân thủ  thời gian tồn tại (cool-down) 30 giây</t>
  </si>
  <si>
    <t>Đã đăng nhập hệ thống; có kịch bản với hành động Đèn chiếu sáng</t>
  </si>
  <si>
    <t>1. Kích hoạt kịch bản thực hiện hành động Đèn chiếu sáng
2. Theo dõi quá trình thực thi
3. Thử kích hoạt lại ngay lập tức
4. Kiểm tra  thời gian tồn tại 30 giây được áp dụng</t>
  </si>
  <si>
    <t>Hành động thực thi thành công; hệ thống áp dụng  thời gian tồn tại 30 giây trước lần thực thi tiếp theo</t>
  </si>
  <si>
    <t>SỬA LẠI 07/09/2026: Test trước đó dùng nhầm field "Delay between runs" (cooldown cấp RULE). Field ĐÚNG cho "đèn sáng N giây rồi tự trả về trạng thái ban đầu" là "Hold duration" - chỉ có ở action Lighting/Set brightness (không có ở Control light state). Đã test lại ĐÚNG cơ chế này ở case RE-ACTION-EXEC-001 (row 164): tạo rule Set brightness=77%, Hold duration=30s trên thiết bị thật Dimming-Light, đo qua API - đèn giữ 77% (control_source=rule) đến +28s, tự trả về mặc định theo lịch (10%, control_source=schedule) lúc +35s. Khớp cấu hình 30s.</t>
  </si>
  <si>
    <t>Trùng nội dung với RE-ACTION-EXEC-001 (đã PASS với bằng chứng thật) - xem row 164 để biết chi tiết đo lường</t>
  </si>
  <si>
    <t>Kiểm tra  thời gian tồn tại hành động - Camera AI</t>
  </si>
  <si>
    <t>RE-ACTION-DELAY-002</t>
  </si>
  <si>
    <t>Kiểm tra hành động Camera AI tuân thủ  thời gian tồn tại 30 giây</t>
  </si>
  <si>
    <t>Đã đăng nhập hệ thống; có kịch bản với hành động Camera AI</t>
  </si>
  <si>
    <t>1. Kích hoạt kịch bản thực hiện hành động Camera AI
2. Theo dõi quá trình thực thi
3. Thử kích hoạt lại ngay lập tức
4. Kiểm tra  thời gian tồn tại 30 giây</t>
  </si>
  <si>
    <t>Hành động thực thi thành công;  thời gian tồn tại 30 giây được áp dụng</t>
  </si>
  <si>
    <t>RETEST 07/09/2026: Camera có 2 action: "Take snapshot" (không có tham số thời lượng - chụp tức thời) và "Start recording on demand" (CÓ trường Duration, đúng khái niệm "ghi hình N giây rồi dừng") nhưng KHÔNG THỂ cấu hình được do BUG-RE-010 (trường Duration luôn báo lỗi dù đã điền giá trị hợp lệ). Do đó không thể verify hành vi "camera ghi hình 30 giây rồi tự dừng" trên hệ thống hiện tại.</t>
  </si>
  <si>
    <t>Tạo kịch bản với logic OR - 2 nhóm điều kiện</t>
  </si>
  <si>
    <t>RE-RULE-CREATE-002</t>
  </si>
  <si>
    <t>Tạo kịch bản: (PM2.5 &gt;= 100) HOẶC (PM10 &gt;= 150) THÌ bật đèn LED</t>
  </si>
  <si>
    <t>Đã đăng nhập; có quyền truy cập danh mục Môi trường thông minh</t>
  </si>
  <si>
    <t>1. Nhập thông tin chung
2. Thêm nhóm 1: PM2.5 &gt;= 100
3. Đặt toán tử giữa nhóm là HOẶC
4. Thêm nhóm 2: PM10 &gt;= 150
5. Thêm hành động
6. Lưu</t>
  </si>
  <si>
    <t>Kịch bản được lưu với 2 nhóm liên kết bằng toán tử HOẶC</t>
  </si>
  <si>
    <t>RETEST 07/09/2026: Tạo rule 2 nhóm điều kiện (PM2.5&gt;=100 nhóm 1, PM10&gt;=999 nhóm 2), test cấu hình THEN+ELSE trong cùng lượt test xác nhận conditionLogic.groupOperator="OR" được lưu đúng qua API, elseBlock.actions cũng lưu đúng (không rỗng khi có cấu hình ELSE). Logic OR giữa 2 nhóm hoạt động đúng, không bị chuyển nhầm thành AND.</t>
  </si>
  <si>
    <t>Tạo kịch bản với hành động THEN và ELSE</t>
  </si>
  <si>
    <t>RE-RULE-CREATE-004</t>
  </si>
  <si>
    <t>Tạo kịch bản với cả hành động THEN và ELSE</t>
  </si>
  <si>
    <t>Đã đăng nhập; biểu mẫu tạo kịch bản đang mở</t>
  </si>
  <si>
    <t>1. Nhập thông tin chung và điều kiện
2. Thêm hành động THEN (VD: bật đèn LED)
3. Thêm hành động ELSE (VD: tắt đèn LED)
4. Kiểm tra cả hai đã lưu
5. Lưu kịch bản</t>
  </si>
  <si>
    <t>Kịch bản được lưu với cả hành động THEN và ELSE</t>
  </si>
  <si>
    <t>RETEST 07/09/2026: Tạo rule với cả THEN (bật đèn LED) và ELSE (bật đèn LED) đều có action. Lưu thành công qua API (HTTP 200), response xác nhận elseBlock.actions chứa đúng 1 action (SET_DEVICE_STATE, state=ON) - không rỗng, không bị mất khi lưu. Cả THEN và ELSE đều persist đúng.</t>
  </si>
  <si>
    <t>Loại kịch bản: An toàn và an ninh</t>
  </si>
  <si>
    <t>RE-SCENARIO-TYPE-001</t>
  </si>
  <si>
    <t>Tạo và thực thi kịch bản trong danh mục An toàn và an ninh</t>
  </si>
  <si>
    <t>Đã đăng nhập; có quyền truy cập danh mục</t>
  </si>
  <si>
    <t>1. Nhấn Thêm mới
2. Chọn Phân loại = An toàn và an ninh
3. Tạo kịch bản phù hợp với loại này
4. Thực thi kịch bản</t>
  </si>
  <si>
    <t>Kịch bản được tạo và thực thi trong danh mục An toàn và an ninh</t>
  </si>
  <si>
    <t>RETEST 07/09/2026: Trường Category (Phân loại) là dropdown tự do, không ảnh hưởng đến logic pass/fail của rule (chỉ là dữ liệu mô tả). Đã test với nhiều category khác nhau trong phiên (Energy Saving, Smart Environment...) đều lưu đúng qua API field "category".</t>
  </si>
  <si>
    <t>Category là trường tự do, đã verify lưu đúng qua nhiều case khác trong phiên test</t>
  </si>
  <si>
    <t>Loại kịch bản: Môi trường thông minh</t>
  </si>
  <si>
    <t>RE-SCENARIO-TYPE-002</t>
  </si>
  <si>
    <t>Tạo và thực thi kịch bản trong danh mục Môi trường thông minh</t>
  </si>
  <si>
    <t>1. Nhấn Thêm mới
2. Chọn Phân loại = Môi trường thông minh
3. Tạo kịch bản phù hợp với loại này
4. Thực thi kịch bản</t>
  </si>
  <si>
    <t>Kịch bản được tạo và thực thi trong danh mục Môi trường thông minh</t>
  </si>
  <si>
    <t>RETEST 07/09/2026: Tương tự RE-SCENARIO-TYPE-001 - Category "Môi trường thông minh"/Smart Environment đã test và lưu đúng trong case Kịch bản cố định 06 (KB06) và các case khác.</t>
  </si>
  <si>
    <t>Trạng thái thực thi: Đang chạy</t>
  </si>
  <si>
    <t>RE-EXEC-STATUS-001</t>
  </si>
  <si>
    <t>Kiểm tra kịch bản đạt trạng thái: Đang chạy</t>
  </si>
  <si>
    <t>Kịch bản đã cấu hình và sẵn sàng thực thi</t>
  </si>
  <si>
    <t>1. Kích hoạt thực thi kịch bản
2. Theo dõi trạng thái thực thi
3. Kiểm tra trạng thái hiển thị: Đang chạy</t>
  </si>
  <si>
    <t>Trạng thái kịch bản hiển thị đúng: Đang chạy</t>
  </si>
  <si>
    <t>RETEST 07/09/2026 (quan sát thật): Trong quá trình test các rule Hold duration/Action delay (HOLDDURATION-LIGHT30, SCENARIO-002-HEAT...), nhiều lần bắt được trạng thái "Running" (Đang chạy) hiển thị đúng trong lúc hành động đang được xử lý (ví dụ HOLDDURATION-LIGHT30 lúc 15:56:17: Nhánh THEN hiển thị "Đang chạy", dòng Lighting hiển thị "Đang chạy" với Kết quả "Đang xử lý"). Sau khi hành động hoàn tất, trạng thái tự chuyển sang Completed/Failed tương ứng.</t>
  </si>
  <si>
    <t>Đã quan sát trực tiếp trạng thái Running trong lúc rule đang thực thi hành động thật</t>
  </si>
  <si>
    <t>Hành động: Đèn chiếu sáng - Cài đặt độ sáng</t>
  </si>
  <si>
    <t>RE-ACTION-EXEC-001</t>
  </si>
  <si>
    <t>Thực thi hành động Đèn chiếu sáng và kiểm tra  thời gian tồn tại: 30 giây</t>
  </si>
  <si>
    <t>Kịch bản đã cấu hình hành động Đèn chiếu sáng</t>
  </si>
  <si>
    <t>1. Kích hoạt kịch bản thực thi hành động Đèn chiếu sáng
2. Theo dõi quá trình thực thi
3. Kiểm tra  thời gian tồn tại 30 giây được áp dụng
4. Kiểm tra hành động không thể kích hoạt lại cho tới khi hết  thời gian tồn tại</t>
  </si>
  <si>
    <t>Hành động thực thi thành công;  thời gian tồn tại 30 giây được áp dụng trước lần thực thi tiếp theo</t>
  </si>
  <si>
    <t>SỬA LẠI 07/09/2026 (test đúng cơ chế): Trước đó test nhầm field "Delay between runs" (cooldown giữa các lần chạy rule). Field ĐÚNG cho "hành động thực thi rồi tự trả về trạng thái ban đầu" là "Hold duration" - CHỈ có ở action Lighting/Set brightness (không có ở Control light state). Test lại: tạo rule Priority High, hành động Set brightness=77%, Hold duration=30s, trên thiết bị thật Dimming-Light (đã tắt các rule test khác đang tranh chấp thiết bị để đo sạch). Đo qua API /api/v1/lighting/status theo thời gian: rule thực thi lúc 16:02:18 (giờ VN); đèn giữ brightness=77% (control_source=rule) tại +19s và +28s sau khi thực thi; đến +35s đã tự động TRẢ VỀ giá trị mặc định theo lịch (brightness=10%, control_source=schedule, reasonCodes=DEFAULT_SCHEDULE). Khớp gần đúng với Hold duration=30s cấu hình (chênh lệch trong khoảng dung sai đánh giá/đồng bộ của hệ thống).</t>
  </si>
  <si>
    <t>Đã sửa lại theo đúng cơ chế Hold duration (không phải Delay between runs) - xác nhận đèn giữ trạng thái ~30s rồi tự trả về mặc định, khớp cấu hình</t>
  </si>
  <si>
    <t>Hành động: Camera AI - Chụp ảnh tức thời</t>
  </si>
  <si>
    <t>RE-ACTION-EXEC-002</t>
  </si>
  <si>
    <t>Thực thi hành động Camera AI và kiểm tra  thời gian tồn tại: 30 giây</t>
  </si>
  <si>
    <t>Kịch bản đã cấu hình hành động Camera AI</t>
  </si>
  <si>
    <t>1. Kích hoạt kịch bản thực thi hành động Camera AI
2. Theo dõi quá trình thực thi
3. Kiểm tra  thời gian tồn tại 30 giây
4. Kiểm tra hành động không thể kích hoạt lại cho tới khi hết  thời gian tồn tại</t>
  </si>
  <si>
    <t>RETEST 07/09/2026 (chạy thật): Tạo rule Delay=30s, điều kiện PM2.5&gt;=1, hành động Camera - Take snapshot. Rule tự kích hoạt lặp lại nhiều lần (quan sát tăng dần: 3 lần lúc 15:37:44 -&gt; 5 lần lúc 15:38:50 -&gt; 8 lần lúc 15:40:28), khoảng cách trung bình ~30-33 giây/lần, trạng thái thực thi luôn "Completed" (thành công).</t>
  </si>
  <si>
    <t>Timing ~30s xác nhận qua nhiều lần lặp thật, hành động chụp ảnh luôn thành công (Completed)</t>
  </si>
  <si>
    <t>Hành động: Camera AI - Ghi hình theo yêu cầu</t>
  </si>
  <si>
    <t>RE-ACTION-EXEC-003</t>
  </si>
  <si>
    <t>Kịch bản: ĐÓN ĐOÀN KHÁCH THAM QUAN</t>
  </si>
  <si>
    <t>RE-SCENARIO-001</t>
  </si>
  <si>
    <t>Phát hiện đám đông kích hoạt chào mừng</t>
  </si>
  <si>
    <t>Điều kiện: Camera AI phát hiện đám đông (&gt;4 người) | Hành động: Phát nhạc + clip giới thiệu</t>
  </si>
  <si>
    <t>1. Tạo kịch bản: ĐÓN ĐOÀN KHÁCH THAM QUAN
2. Cấu hình điều kiện: Camera AI phát hiện đám đông (&gt;4 người)
3. Cấu hình hành động: Phát nhạc + clip giới thiệu
4. Kiểm thử kích hoạt</t>
  </si>
  <si>
    <t>Kịch bản thực thi đúng với tất cả điều kiện và hành động hoạt động</t>
  </si>
  <si>
    <t>Kịch bản thực tế từ file Danh sách trạng thái | LƯU Ý: Camera AI (Camera DC) LÀ thiết bị vật lý thật, hoạt động bình thường - nhưng hiện KHÔNG có sự kiện AI thật xảy ra (không có người/xâm nhập thật trước camera) nên dữ liệu điều kiện được giả lập/mô phỏng qua API EdgeX (POST /api/v1/cameras/{id}/metrics/...) để kiểm tra phản ứng của Rule Engine.</t>
  </si>
  <si>
    <t>Kịch bản: CẢNH BÁO THỜI TIẾT NẮNG NÓNG</t>
  </si>
  <si>
    <t>RE-SCENARIO-002</t>
  </si>
  <si>
    <t>Cảnh báo khi nhiệt độ cao</t>
  </si>
  <si>
    <t>Điều kiện: Nhiệt độ &gt; 34°C | Hành động: Phát cảnh báo</t>
  </si>
  <si>
    <t>1. Tạo kịch bản: CẢNH BÁO THỜI TIẾT NẮNG NÓNG
2. Cấu hình điều kiện: Nhiệt độ &gt; 34°C
3. Cấu hình hành động: Phát cảnh báo
4. Kiểm thử kích hoạt</t>
  </si>
  <si>
    <t>RETEST 07/09/2026 (chạy thật): Tạo rule điều kiện Environmental sensor - Temperature &gt;=1 (telemetry thật), THEN: LED display (Display content), Speaker (Play audio). Rule tự trigger LẶP LẠI 25 lần từ dữ liệu nhiệt độ thật liên tục. Mỗi lần: Điều kiện Đạt 1/1, LED display THÀNH CÔNG (thiết bị thật A3L-StreetLight-Display-01 hiển thị đúng), Speaker THẤT BẠI (gateway Zycoo lỗi - vấn đề hạ tầng ngoài phạm vi Rule Engine, không phải bug). Hệ thống hiển thị đúng trạng thái từng hành động, không báo thành công giả.</t>
  </si>
  <si>
    <t>Đã verify qua telemetry Temperature thật (25 lần lặp) - LED chạy đúng trên thiết bị thật, Speaker lỗi do hạ tầng ngoài Rule Engine</t>
  </si>
  <si>
    <t>Kịch bản: CẢNH BÁO XÂM NHẬP NGOÀI GIỜ</t>
  </si>
  <si>
    <t>RE-SCENARIO-003</t>
  </si>
  <si>
    <t>Phát hiện xâm nhập ngoài giờ làm việc</t>
  </si>
  <si>
    <t>Điều kiện: Camera phát hiện xâm nhập trái phép | Hành động: Phát cảnh báo + thông báo</t>
  </si>
  <si>
    <t>1. Tạo kịch bản: CẢNH BÁO XÂM NHẬP NGOÀI GIỜ
2. Cấu hình điều kiện: Camera phát hiện xâm nhập trái phép
3. Cấu hình hành động: Phát cảnh báo + thông báo
4. Kiểm thử kích hoạt</t>
  </si>
  <si>
    <t>Kịch bản: AN TOÀN PHÒNG CHỐNG CHÁY NỔ</t>
  </si>
  <si>
    <t>RE-SCENARIO-004</t>
  </si>
  <si>
    <t>Phát hiện cháy kích hoạt cảnh báo</t>
  </si>
  <si>
    <t>Điều kiện: Camera phát hiện cháy | Hành động: Thông báo khẩn cấp</t>
  </si>
  <si>
    <t>1. Tạo kịch bản: AN TOÀN PHÒNG CHỐNG CHÁY NỔ
2. Cấu hình điều kiện: Camera phát hiện cháy
3. Cấu hình hành động: Thông báo khẩn cấp
4. Kiểm thử kích hoạt</t>
  </si>
  <si>
    <t>RETEST 07/09/2026: Kiểm tra danh sách Type của điều kiện (Conditions) trong Rule Engine chỉ gồm 3 lựa chọn: Camera, Environmental sensor, Flood sensor - KHÔNG CÓ loại cảm biến "Cháy"/"Khói"/"Fire"/"Smoke" nào. Do đó KHÔNG THỂ cấu hình điều kiện "Phát hiện cháy" đúng theo mô tả kịch bản. Có thể dùng Environmental sensor - Temperature ở ngưỡng rất cao làm giải pháp thay thế tạm thời, nhưng đây không phải cảm biến cháy/khói thật.</t>
  </si>
  <si>
    <t xml:space="preserve">Không tồn tại loại cảm biến Cháy/Khói trong Rule Engine </t>
  </si>
  <si>
    <t>Tạo kịch bản đơn giản - 1 điều kiện, 1 hành động</t>
  </si>
  <si>
    <t>RE-RULE-CREATE-001</t>
  </si>
  <si>
    <t>Tạo kịch bản đơn giản với 1 điều kiện và 1 hành động</t>
  </si>
  <si>
    <t>1. Nhập tên, mô tả
2. Thêm 1 điều kiện (VD: PM2.5 &gt;= 100)
3. Thêm 1 hành động (VD: bật đèn LED)
4. Lưu</t>
  </si>
  <si>
    <t>Kịch bản được tạo với 1 điều kiện, 1 hành động</t>
  </si>
  <si>
    <t>RETEST 07/09/2026: Đã tạo thành công rất nhiều kịch bản đơn giản 1 điều kiện + 1 hành động trong suốt phiên test này (KB06, RE-FIXED-001/003/005, các rule AE0*, HOLDDURATION...). Tất cả đều lưu và enable thành công qua API (HTTP 200/201), xác nhận rule cơ bản hoạt động ổn định.</t>
  </si>
  <si>
    <t>Đã verify nhiều lần qua các case khác trong cùng phiên test</t>
  </si>
  <si>
    <t>RE-RULE-CREATE-003</t>
  </si>
  <si>
    <t>Tạo kịch bản: (PM2.5 &gt;= 100) HOẶC (PM10 &gt;= 150)</t>
  </si>
  <si>
    <t>1. Thêm nhóm 1: PM2.5 &gt;= 100
2. Đặt toán tử HOẶC
3. Thêm nhóm 2: PM10 &gt;= 150
4. Lưu kịch bản</t>
  </si>
  <si>
    <t>Kịch bản được lưu với logic OR (không bị chuyển thành AND)</t>
  </si>
  <si>
    <t>RETEST 07/09/2026: Tương tự RE-RULE-CREATE-002 - đã verify OR logic giữa 2 nhóm điều kiện lưu đúng qua API (conditionLogic.groupOperator=OR), không bị lỗi chuyển thành AND.</t>
  </si>
  <si>
    <t>Tạo kịch bản với 3 điều kiện - logic AND</t>
  </si>
  <si>
    <t>RE-RULE-CREATE-005</t>
  </si>
  <si>
    <t>Tạo kịch bản: (PM2.5 &gt;= 100 VÀ PM10 &gt;= 150 VÀ Nhiệt độ &gt; 30)</t>
  </si>
  <si>
    <t>Đã đăng nhập; có nhiều cảm biến môi trường</t>
  </si>
  <si>
    <t>1. Nhập thông tin chung
2. Thêm 3 điều kiện vào cùng 1 nhóm với toán tử VÀ
3. Thêm hành động
4. Lưu</t>
  </si>
  <si>
    <t>Kịch bản được lưu với 3 điều kiện liên kết bằng VÀ</t>
  </si>
  <si>
    <t>RETEST 07/09/2026: Tạo rule 1 nhóm điều kiện với 3 điều kiện (PM2.5&gt;=999, PM10&gt;=999, Temperature&gt;35) - lưu thành công qua API (HTTP 200/200) sau khi sửa giá trị Temperature về khoảng hợp lệ [-20,80] (lần đầu dùng giá trị 999 bị chặn đúng bởi validation "TEMPERATURE must be within [-20, 80]" - đây là validation hợp lệ, không phải bug). Logic AND giữa 3 điều kiện trong cùng 1 nhóm hoạt động đúng.</t>
  </si>
  <si>
    <t>Xác nhận AND logic 3 điều kiện lưu đúng qua API; phát hiện thêm validation hợp lệ cho khoảng giá trị Temperature [-20,80]</t>
  </si>
  <si>
    <t>RE-RULE-CREATE-007</t>
  </si>
  <si>
    <t>Tạo kịch bản với cả hành động THEN (bật đèn) và ELSE (tắt đèn)</t>
  </si>
  <si>
    <t>1. Thêm điều kiện
2. Thêm hành động THEN (bật đèn LED)
3. Thêm hành động ELSE (tắt đèn LED)
4. Lưu</t>
  </si>
  <si>
    <t>Kịch bản được lưu với cả hai nhóm hành động</t>
  </si>
  <si>
    <t>Tạo kịch bản với độ ưu tiên Cao</t>
  </si>
  <si>
    <t>RE-RULE-CREATE-009</t>
  </si>
  <si>
    <t>Tạo kịch bản với độ ưu tiên cao</t>
  </si>
  <si>
    <t>1. Nhập thông tin cơ bản
2. Chọn Độ ưu tiên = Cao
3. Thêm điều kiện và hành động
4. Lưu</t>
  </si>
  <si>
    <t>Kịch bản được tạo với độ ưu tiên = Cao</t>
  </si>
  <si>
    <t>RETEST 07/09/2026: Priority=High đã được sử dụng và xác nhận lưu đúng qua API trong rất nhiều rule trong suốt phiên test này (HOLDDURATION-LIGHT30, TEST-DIFFPRIO-X-HIGH, MTX-HIGH-OVERLAP...). Priority High hoạt động đúng, ảnh hưởng đúng đến cơ chế xử lý xung đột kịch bản (ưu tiên cao hơn tự thắng khi khác mức, đúng theo bảng PSD).</t>
  </si>
  <si>
    <t>Tạo kịch bản với độ ưu tiên Khẩn cấp</t>
  </si>
  <si>
    <t>RE-RULE-CREATE-011</t>
  </si>
  <si>
    <t>Tạo kịch bản với độ ưu tiên khẩn cấp</t>
  </si>
  <si>
    <t>1. Nhập thông tin cơ bản
2. Chọn Độ ưu tiên = Khẩn cấp
3. Thêm điều kiện và hành động
4. Lưu</t>
  </si>
  <si>
    <t>Kịch bản được tạo với độ ưu tiên = Khẩn cấp</t>
  </si>
  <si>
    <t>RETEST 07/09/2026: Dropdown Priority hiện đã đổi thành Low/Medium/High (không còn "Emergency" - xem BUG-RE-011 đã fix theo đúng thống nhất giữa 2 bên). Testcase gốc yêu cầu test mức "Khẩn cấp/Emergency" nhưng mức này không còn tồn tại. Đã test thay bằng mức "High" (cao nhất hiện có) - lưu đúng qua API.</t>
  </si>
  <si>
    <t>Mức Emergency đã được thay bằng Low/Medium/High theo BUG-RE-011 (đã fix) - test lại với mức High (cao nhất) thay thế</t>
  </si>
  <si>
    <t>Tạo kịch bản với lịch tuần (Weekly)</t>
  </si>
  <si>
    <t>RE-RULE-CREATE-013</t>
  </si>
  <si>
    <t>Tạo kịch bản với lịch tuần (Thứ 2/Thứ 4/Thứ 6)</t>
  </si>
  <si>
    <t>1. Nhấn "Chọn ngày"
2. Chọn Thứ 2, Thứ 4, Thứ 6
3. Thêm điều kiện và hành động
4. Lưu</t>
  </si>
  <si>
    <t>Kịch bản chỉ hoạt động vào Thứ 2/Thứ 4/Thứ 6</t>
  </si>
  <si>
    <t>RETEST 07/09/2026: Đã tạo và lưu thành công nhiều rule với lịch Weekly chỉ chọn một số ngày cụ thể (Mon-Fri, không phải cả 7 ngày) trong nhiều case của phiên test này (RETEST-CONFLICT-A/B, TEST-DIFFPRIO, MTX-*, RETEST-EDITTIME dùng Mon). API xác nhận recurrence.on chỉ chứa đúng các ngày đã chọn.</t>
  </si>
  <si>
    <t>Tạo kịch bản với lịch hàng tháng (Monthly)</t>
  </si>
  <si>
    <t>RE-RULE-CREATE-015</t>
  </si>
  <si>
    <t>Tạo kịch bản với lịch hàng tháng</t>
  </si>
  <si>
    <t>1. Chọn loại lịch = Hàng tháng
2. Chọn ngày cụ thể trong tháng
3. Thêm điều kiện và hành động
4. Lưu</t>
  </si>
  <si>
    <t>Kịch bản hoạt động vào các ngày đã chọn trong tháng</t>
  </si>
  <si>
    <t>RETEST 07/09/2026: Activation type có tùy chọn Monthly, chọn Days of month (ví dụ ngày 1) và lưu thành công qua API. Response xác nhận activationSchedule: {"recurrence":{"on":[1],"frequency":"MONTHLY"}} - đúng cấu hình đã chọn.</t>
  </si>
  <si>
    <t>Tạo kịch bản - tên tối đa 255 ký tự</t>
  </si>
  <si>
    <t>RE-RULE-CREATE-017</t>
  </si>
  <si>
    <t>Kiểm tra trường tên chấp nhận tối đa 255 ký tự</t>
  </si>
  <si>
    <t>1. Nhập tên với 255 ký tự
2. Nhập các trường bắt buộc khác
3. Lưu</t>
  </si>
  <si>
    <t>Kịch bản được lưu thành công với tên 255 ký tự</t>
  </si>
  <si>
    <t>RETEST 07/09/2026: Trùng nội dung với RE-E2E-003-004 (đã test kỹ) - Tên kịch bản 255 ký tự hợp lệ, 256 ký tự bị chặn/cắt đúng.</t>
  </si>
  <si>
    <t>Tạo kịch bản - mô tả tối đa 500 ký tự</t>
  </si>
  <si>
    <t>RE-RULE-CREATE-019</t>
  </si>
  <si>
    <t>Kiểm tra trường mô tả chấp nhận tối đa 500 ký tự</t>
  </si>
  <si>
    <t>1. Nhập mô tả với 500 ký tự
2. Nhập các trường khác
3. Lưu</t>
  </si>
  <si>
    <t>Kịch bản được lưu thành công với mô tả 500 ký tự</t>
  </si>
  <si>
    <t>RETEST 07/09/2026: Trùng nội dung với RE-E2E-003-004 (đã test kỹ, BUG-RE-006 đã fix) - Mô tả 500 ký tự hợp lệ, nhập 600 ký tự bị tự động cắt còn đúng 500, bộ đếm hiển thị "500/500".</t>
  </si>
  <si>
    <t>Tạo kịch bản - tên trùng lặp (duplicate)</t>
  </si>
  <si>
    <t>RE-RULE-CREATE-021</t>
  </si>
  <si>
    <t>Kiểm tra hệ thống ngăn chặn tên kịch bản trùng lặp</t>
  </si>
  <si>
    <t>Đã tồn tại kịch bản tên "Test Rule"</t>
  </si>
  <si>
    <t>1. Tạo kịch bản mới với tên "Test Rule" (đã tồn tại)
2. Nhập các trường khác
3. Thử lưu</t>
  </si>
  <si>
    <t>Hiển thị thông báo lỗi: tên kịch bản không được trùng lặp</t>
  </si>
  <si>
    <t>RETEST 07/09/2026: Tạo rule A với tên X, lưu thành công (HTTP 201). Tạo rule B với TÊN TRÙNG X, bấm Save -&gt; API trả về lỗi HTTP 409 CFG_RULE_NAME_CONFLICT: "Another rule has the same normalized name". Hệ thống chặn ĐÚNG việc lưu tên trùng lặp ở tầng backend.</t>
  </si>
  <si>
    <t>Tạo kịch bản - Trạng thái Bản nháp</t>
  </si>
  <si>
    <t>RE-RULE-CREATE-025</t>
  </si>
  <si>
    <t>Tạo kịch bản với trạng thái Bản nháp</t>
  </si>
  <si>
    <t>1. Nhập thông tin cơ bản
2. Chọn Trạng thái = Bản nháp
3. Lưu</t>
  </si>
  <si>
    <t>Trạng thái kịch bản = Bản nháp (không thực thi)</t>
  </si>
  <si>
    <t>RETEST 07/09/2026: Trạng thái Draft đã được xác nhận qua rất nhiều rule trong phiên test này (mặc định khi tạo mới, hoặc sau khi Cancel popup xung đột, hoặc sau "Disable and edit"). configStatus="DRAFT" lưu đúng qua API khi chọn Draft.</t>
  </si>
  <si>
    <t>Tạo kịch bản - Trạng thái Đang bật</t>
  </si>
  <si>
    <t>RE-RULE-CREATE-027</t>
  </si>
  <si>
    <t>Tạo kịch bản với trạng thái Đang bật</t>
  </si>
  <si>
    <t>1. Nhập thông tin cơ bản
2. Chọn Trạng thái = Đang bật
3. Lưu</t>
  </si>
  <si>
    <t>Trạng thái kịch bản = Đang bật (đang thực thi)</t>
  </si>
  <si>
    <t>RETEST 07/09/2026: Trạng thái Enabled đã được xác nhận qua HÀNG CHỤC rule trong phiên test này, tất cả đều lưu configStatus="ENABLED" đúng qua API (POST .../:enable trả về 200).</t>
  </si>
  <si>
    <t>Đã verify rất nhiều lần qua các case khác trong cùng phiên test</t>
  </si>
  <si>
    <t>Hành động: Thông báo - Gửi thông báo hệ thống</t>
  </si>
  <si>
    <t>RE-ACTION-EXEC-014</t>
  </si>
  <si>
    <t>Kiểm tra hành động Thông báo ( thời gian tồn tại 120 giây)</t>
  </si>
  <si>
    <t>Có kịch bản với hành động thông báo</t>
  </si>
  <si>
    <t>1. Kích hoạt kịch bản
2. Kiểm tra thông báo được gửi
3. Kiểm tra  thời gian tồn tại 120 giây (2 phút)</t>
  </si>
  <si>
    <t>Hành động thông báo hoạt động với độ trễ 120 giây</t>
  </si>
  <si>
    <t>RETEST 07/09/2026: Hành động System notification KHÔNG có bất kỳ tham số cấu hình nào (không có Duration/Hold duration) - đây là hành động tức thời (gửi 1 lần, không có trạng thái "đang hoạt động" để tự tắt sau 120 giây). Do đó khái niệm "thời gian hoạt động 120 giây" trong testcase gốc không áp dụng được cho loại hành động này trên hệ thống hiện tại.</t>
  </si>
  <si>
    <t>Notification là hành động tức thời, không có khái niệm thời lượng hoạt động - cần xác nhận lại ý nghĩa thực sự của "120 giây" trong đặc tả gốc với business</t>
  </si>
  <si>
    <t>Trạng thái thực thi: COMPLETED - Hoàn thành tất cả hành động</t>
  </si>
  <si>
    <t>RE-EXEC-STATUS-002</t>
  </si>
  <si>
    <t>Kiểm tra trạng thái kịch bản hiển thị COMPLETED sau khi tất cả hành động hoàn thành</t>
  </si>
  <si>
    <t>Kịch bản có nhiều hành động tuần tự</t>
  </si>
  <si>
    <t>1. Kích hoạt kịch bản
2. Theo dõi tất cả hành động thực thi
3. Kiểm tra trạng thái = COMPLETED</t>
  </si>
  <si>
    <t>Trạng thái hiển thị COMPLETED khi tất cả hành động hoàn thành</t>
  </si>
  <si>
    <t>RETEST 07/09/2026 (quan sát thật): Nhiều rule test với hành động thành công toàn bộ hiển thị đúng trạng thái "Completed" sau khi hoàn tất (ví dụ AE002-CAMSNAP30: nhiều lần thực thi liên tiếp đều Completed khi Camera snapshot thành công; AE012-EMERG60, AE014-NOTIF120 tương tự khi Emergency/Notification thực thi thành công không lỗi).</t>
  </si>
  <si>
    <t>Đã quan sát trực tiếp trạng thái Completed khi tất cả hành động trong rule thành công</t>
  </si>
  <si>
    <t>Trạng thái thực thi: FAILED - Lỗi thiết bị hoặc timeout</t>
  </si>
  <si>
    <t>RE-EXEC-STATUS-003</t>
  </si>
  <si>
    <t>Kiểm tra trạng thái kịch bản hiển thị FAILED khi có lỗi thiết bị</t>
  </si>
  <si>
    <t>Kịch bản có hành động gửi tới thiết bị offline</t>
  </si>
  <si>
    <t>1. Kích hoạt kịch bản tới thiết bị offline
2. Theo dõi timeout/lỗi
3. Kiểm tra trạng thái = FAILED</t>
  </si>
  <si>
    <t>Trạng thái hiển thị FAILED khi thiết bị lỗi</t>
  </si>
  <si>
    <t>RETEST 07/09/2026: Rule RETEST-EXECSTATUS (điều kiện PM2.5&gt;=1, action Speaker - gateway hiện đang lỗi 500) đã tự trigger 11 lần theo dữ liệu thật từ Sensor-SEM227. Vào Rule monitoring: 10/11 lần thực thi hiển thị đúng trạng thái "Failed" (do Speaker action thất bại), 1 lần đang "Running". Không có trường hợp nào báo "thành công" giả khi action thực tế lỗi.</t>
  </si>
  <si>
    <t>Đã xác nhận qua trigger thật (không cần thiết bị camera) - hệ thống hiển thị đúng FAILED khi action lỗi</t>
  </si>
  <si>
    <t>Demo Smart Pole ngoài trời</t>
  </si>
  <si>
    <t>Kịch bản demo Smart Pole do người dùng cung cấp</t>
  </si>
  <si>
    <t>Trụ có AI Camera, LED hai mặt, đèn chiếu sáng ngoài trời</t>
  </si>
  <si>
    <t>Các bước thực hiện
(Test step)</t>
  </si>
  <si>
    <t>Đường dẫn / Vùng kiểm thử
(Path)</t>
  </si>
  <si>
    <t>Dữ liệu kiểm thử
(Input data)</t>
  </si>
  <si>
    <t>SP-DEMO-LIGHT-001</t>
  </si>
  <si>
    <t>Điều khiển dimming đèn theo lưu lượng người và phương tiện</t>
  </si>
  <si>
    <t>SP-DEMO-LIGHT-001-001</t>
  </si>
  <si>
    <t>Kiểm tra mức sáng mặc định khi AI Camera không phát hiện người/xe.</t>
  </si>
  <si>
    <t>Trụ Smart Pole lắp ngoài trời; camera AI, màn hình LED hai mặt và đèn chiếu sáng hoạt động; hệ thống ở môi trường test/demo. Cấu hình dimming theo lưu lượng được bật; điều kiện thời gian trong khung 18h-05h hoặc mô phỏng trời tối.</t>
  </si>
  <si>
    <t>1. Đưa khu vực cổng về trạng thái không có người/xe.
2. Chờ AI Camera cập nhật kết quả nhận diện.
3. Quan sát mức sáng đèn trên trụ.</t>
  </si>
  <si>
    <t>{"people":0,"vehicles":0,"time":"18:00-05:00"}</t>
  </si>
  <si>
    <t>1. Hệ thống xác định tổng đối tượng = 0.
2. Đèn giảm hoặc duy trì mức 30%.
3. Dashboard/log không báo lỗi nhận diện.</t>
  </si>
  <si>
    <t xml:space="preserve">Hiện tại đang chỉ test theo số lượng người </t>
  </si>
  <si>
    <t>SP-DEMO-LIGHT-001-002</t>
  </si>
  <si>
    <t>Kiểm tra dimming khi tổng người/xe bằng 1.</t>
  </si>
  <si>
    <t>1. Cho 1 người hoặc 1 xe đi vào vùng camera.
2. Chờ AI Camera phát hiện.
3. Quan sát mức sáng đèn.</t>
  </si>
  <si>
    <t>{"people":1,"vehicles":0,"expectedBrightness":60}</t>
  </si>
  <si>
    <t>1. Tổng đối tượng = 1.
2. Đèn tăng lên 60%.
3. Mức sáng không vượt 60% khi chỉ có 1 đối tượng.</t>
  </si>
  <si>
    <t>SP-DEMO-LIGHT-001-003</t>
  </si>
  <si>
    <t>Kiểm tra biên trên của nhóm 1-2 đối tượng.</t>
  </si>
  <si>
    <t>1. Cho tổng 2 đối tượng xuất hiện trong vùng camera.
2. Quan sát kết quả nhận diện.
3. Quan sát mức sáng đèn.</t>
  </si>
  <si>
    <t>{"people":1,"vehicles":1,"expectedBrightness":60}</t>
  </si>
  <si>
    <t>1. Tổng đối tượng = 2.
2. Đèn duy trì 60%.
3. Không tăng nhầm lên 80%.</t>
  </si>
  <si>
    <t>SP-DEMO-LIGHT-001-004</t>
  </si>
  <si>
    <t>Kiểm tra biên dưới của nhóm 3-5 đối tượng.</t>
  </si>
  <si>
    <t>1. Cho tổng 3 đối tượng xuất hiện tại cổng.
2. Chờ hệ thống cập nhật.
3. Quan sát mức sáng đèn.</t>
  </si>
  <si>
    <t>{"people":2,"vehicles":1,"expectedBrightness":80}</t>
  </si>
  <si>
    <t>1. Tổng đối tượng = 3.
2. Đèn tăng lên 80%.
3. Log/dashboad ghi nhận đúng tổng đối tượng.</t>
  </si>
  <si>
    <t>SP-DEMO-LIGHT-001-005</t>
  </si>
  <si>
    <t>Kiểm tra biên trên của nhóm 3-5 đối tượng.</t>
  </si>
  <si>
    <t>1. Cho tổng 5 đối tượng xuất hiện tại cổng.
2. Chờ camera nhận diện ổn định.
3. Quan sát mức sáng đèn.</t>
  </si>
  <si>
    <t>{"people":3,"vehicles":2,"expectedBrightness":80}</t>
  </si>
  <si>
    <t>1. Tổng đối tượng = 5.
2. Đèn duy trì 80%.
3. Không tăng lên 100% khi chưa vượt 5.</t>
  </si>
  <si>
    <t>SP-DEMO-LIGHT-001-006</t>
  </si>
  <si>
    <t>Kiểm tra biên dưới của nhóm từ 5 đối tượng trở lên theo yêu cầu demo.</t>
  </si>
  <si>
    <t>1. Cho tổng 6 đối tượng xuất hiện tại cổng.
2. Chờ AI Camera cập nhật tổng lưu lượng.
3. Quan sát mức sáng đèn.</t>
  </si>
  <si>
    <t>{"people":4,"vehicles":2,"expectedBrightness":100}</t>
  </si>
  <si>
    <t>1. Tổng đối tượng &gt;= 6.
2. Đèn tăng lên 100%.
3. Mức sáng đạt tối đa và không vượt quá 100%.</t>
  </si>
  <si>
    <t>SP-DEMO-LIGHT-001-007</t>
  </si>
  <si>
    <t>Kiểm tra hệ thống xử lý lưu lượng đông trong khung giờ tối.</t>
  </si>
  <si>
    <t>1. Cho nhiều người và phương tiện đi qua đồng thời.
2. Quan sát độ ổn định nhận diện.
3. Quan sát phản hồi đèn.</t>
  </si>
  <si>
    <t>{"people":8,"vehicles":5,"expectedBrightness":100}</t>
  </si>
  <si>
    <t>1. Hệ thống không crash khi nhiều object xuất hiện.
2. Đèn giữ 100%.
3. Không nhấp nháy liên tục do count dao động nhỏ.</t>
  </si>
  <si>
    <t>chưa có áp dụng</t>
  </si>
  <si>
    <t>SP-DEMO-LIGHT-001-008</t>
  </si>
  <si>
    <t>Kiểm tra rule delay trước khi giảm về mặc định.</t>
  </si>
  <si>
    <t>1. Tạo lưu lượng để đèn tăng lên 80% hoặc 100%.
2. Cho tất cả đối tượng rời khỏi vùng camera.
3. Quan sát mức sáng trong 2 phút.
4. Quan sát mức sáng sau 2 phút.</t>
  </si>
  <si>
    <t>{"lastBrightness":100,"noObjectDuration":"2 minutes"}</t>
  </si>
  <si>
    <t>1. Khi không còn đối tượng, đèn vẫn giữ mức sáng hiện tại trong khoảng 2 phút.
2. Trong 2 phút đèn không giảm ngay về 30%.
3. Sau khoảng 2 phút đèn giảm về 30%.</t>
  </si>
  <si>
    <t xml:space="preserve">đèn có giảm nhưng trên hệ thống cần phải reload lại trang mới coi được % đúng </t>
  </si>
  <si>
    <t>SP-DEMO-LIGHT-001-009</t>
  </si>
  <si>
    <t>Kiểm tra timer giữ sáng được reset khi camera phát hiện lại đối tượng.</t>
  </si>
  <si>
    <t>1. Tạo lưu lượng để đèn tăng sáng.
2. Cho đối tượng rời khỏi vùng camera.
3. Trước khi đủ 2 phút, cho đối tượng mới đi vào.
4. Quan sát mức sáng và timer.</t>
  </si>
  <si>
    <t>{"lastBrightness":80,"newObjectsBeforeTimeout":true}</t>
  </si>
  <si>
    <t>1. Đèn không giảm về 30% khi có lưu lượng quay lại.
2. Timer giữ sáng được reset hoặc cập nhật theo lưu lượng mới.
3. Mức sáng phản ánh tổng đối tượng mới.</t>
  </si>
  <si>
    <t>SP-DEMO-LIGHT-001-010</t>
  </si>
  <si>
    <t>Kiểm tra dimming không kích hoạt sai ngoài khung thời gian yêu cầu.</t>
  </si>
  <si>
    <t>Trụ Smart Pole lắp ngoài trời; camera AI, màn hình LED hai mặt và đèn chiếu sáng hoạt động; hệ thống ở môi trường test/demo.</t>
  </si>
  <si>
    <t>1. Mô phỏng thời gian ban ngày ngoài khung 18h-05h.
2. Cho người/xe đi qua cổng.
3. Quan sát mức sáng đèn.</t>
  </si>
  <si>
    <t>{"time":"12:00","people":5,"vehicles":2}</t>
  </si>
  <si>
    <t>1. Hệ thống không áp dụng rule dimming ban đêm nếu cấu hình chỉ chạy 18h-05h.
2. Đèn giữ theo mode ban ngày hoặc rule hiện hành.
3. Không tăng sáng sai theo traffic ban đêm.</t>
  </si>
  <si>
    <t>SP-DEMO-LIGHT-001-011</t>
  </si>
  <si>
    <t>Kiểm tra boundary bắt đầu khung giờ tối.</t>
  </si>
  <si>
    <t>1. Đặt thời gian hệ thống/mô phỏng đúng 18:00.
2. Cho 1-2 đối tượng xuất hiện.
3. Quan sát rule dimming.</t>
  </si>
  <si>
    <t>{"time":"18:00","people":1,"vehicles":1}</t>
  </si>
  <si>
    <t>1. Rule dimming được kích hoạt từ 18:00.
2. Đèn tăng lên 60% với tổng 2 đối tượng.
3. Không cần chờ sang 18:01 mới áp dụng.</t>
  </si>
  <si>
    <t>SP-DEMO-LIGHT-001-012</t>
  </si>
  <si>
    <t>Kiểm tra boundary kết thúc khung giờ tối.</t>
  </si>
  <si>
    <t>1. Đặt thời gian hệ thống/mô phỏng đúng 05:00.
2. Cho đối tượng xuất hiện.
3. Quan sát rule dimming.</t>
  </si>
  <si>
    <t>{"time":"05:00","people":3,"vehicles":1}</t>
  </si>
  <si>
    <t>1. Hệ thống xử lý đúng rule kết thúc khung giờ theo cấu hình.
2. Không tăng sáng sai nếu 05:00 được xem là ngoài khoảng.
3. Nếu 05:00 vẫn thuộc khoảng, behavior phải nhất quán và có log cấu hình.</t>
  </si>
  <si>
    <t>SP-DEMO-LIGHT-001-013</t>
  </si>
  <si>
    <t>Kiểm tra edge case ngoài trời khi người/xe bị khuất bởi vật cản.</t>
  </si>
  <si>
    <t>1. Đặt vật cản một phần trước camera.
2. Cho người/xe đi qua vùng bị che.
3. Quan sát count và mức sáng.</t>
  </si>
  <si>
    <t>{"occlusion":"partial","people":2,"vehicles":1}</t>
  </si>
  <si>
    <t>1. Hệ thống không crash khi confidence thấp.
2. Nếu không đủ confidence, không tăng sáng sai quá mức.
3. Event/log nên thể hiện nhận diện không chắc chắn nếu hệ thống hỗ trợ.</t>
  </si>
  <si>
    <t>SP-DEMO-LIGHT-001-014</t>
  </si>
  <si>
    <t>Kiểm tra ngoài trời với nhiễu hình ảnh.</t>
  </si>
  <si>
    <t>1. Tạo điều kiện ánh sáng phức tạp như bóng cây, đèn xe, phản chiếu.
2. Không có người/xe thật trong vùng cổng.
3. Quan sát count và mức sáng.</t>
  </si>
  <si>
    <t>{"noise":"reflection/headlight/shadow","realObjects":0}</t>
  </si>
  <si>
    <t>1. Hệ thống hạn chế tăng sáng do false positive.
2. Đèn không tăng lên 60/80/100% nếu không có đối tượng thật.
3. Nếu phát hiện nhầm, log phải đủ dữ liệu để phân tích.</t>
  </si>
  <si>
    <t>SP-DEMO-LIGHT-001-015</t>
  </si>
  <si>
    <t>Kiểm tra khả năng hoạt động ngoài trời trong thời tiết xấu.</t>
  </si>
  <si>
    <t>1. Mô phỏng trời mưa lớn/sương mù hoặc dùng video test tương ứng.
2. Cho người/xe đi qua.
3. Quan sát count và mức sáng.</t>
  </si>
  <si>
    <t>{"weather":"heavy_rain_or_fog","people":2,"vehicles":1}</t>
  </si>
  <si>
    <t>1. Hệ thống vẫn hoạt động ổn định hoặc hiển thị trạng thái nhận diện suy giảm.
2. Đèn không nhấp nháy bất thường.
3. Không crash AI camera pipeline.</t>
  </si>
  <si>
    <t>SP-DEMO-LIGHT-001-016</t>
  </si>
  <si>
    <t>Kiểm tra fallback khi AI Camera mất kết nối.</t>
  </si>
  <si>
    <t>1. Ngắt kết nối AI Camera hoặc mô phỏng camera offline.
2. Quan sát hệ thống điều khiển đèn.
3. Khôi phục camera và quan sát lại.</t>
  </si>
  <si>
    <t>{"cameraStatus":"offline"}</t>
  </si>
  <si>
    <t>1. Hệ thống không crash khi mất camera.
2. Đèn dùng fallback an toàn theo cấu hình, ví dụ giữ 30% hoặc mức an toàn.
3. Khi camera online lại, rule dimming hoạt động trở lại.</t>
  </si>
  <si>
    <t>SP-DEMO-LIGHT-001-017</t>
  </si>
  <si>
    <t>Kiểm tra lỗi thiết bị đèn ngoài trời.</t>
  </si>
  <si>
    <t>1. Mô phỏng controller đèn không phản hồi.
2. Tạo lưu lượng người/xe.
3. Quan sát dashboard/log.</t>
  </si>
  <si>
    <t>{"lightingController":"no_response","people":3}</t>
  </si>
  <si>
    <t>1. Hệ thống ghi nhận lỗi điều khiển đèn.
2. UI/log không báo thành công giả.
3. Không retry vô hạn gây nghẽn hệ thống.</t>
  </si>
  <si>
    <t>SP-DEMO-LED-001</t>
  </si>
  <si>
    <t>Điều khiển nội dung hiển thị màn hình Smart Pole theo ngữ cảnh</t>
  </si>
  <si>
    <t>SP-DEMO-LED-001-001</t>
  </si>
  <si>
    <t>Kiểm tra trạng thái mặc định khi không có người đi vào cổng.</t>
  </si>
  <si>
    <t>Trụ Smart Pole lắp ngoài trời; camera AI, màn hình LED hai mặt và đèn chiếu sáng hoạt động; hệ thống ở môi trường test/demo. Màn hình LED hai mặt online; danh sách nhân viên nhận diện đã được cấu hình cho demo.</t>
  </si>
  <si>
    <t>1. Đưa hệ thống về trạng thái không có nhận diện nhân viên.
2. Quan sát màn hình phía trong cổng.
3. Quan sát màn hình phía ngoài cổng.</t>
  </si>
  <si>
    <t>{"recognizedPerson":false}</t>
  </si>
  <si>
    <t>1. Màn hình phía trong hiển thị dashboard thời tiết, môi trường và giao thông.
2. Màn hình phía ngoài hiển thị nội dung quảng bá/hình ảnh doanh nghiệp.
3. Hai mặt hiển thị đúng nội dung riêng biệt.</t>
  </si>
  <si>
    <t>SP-DEMO-LED-001-002</t>
  </si>
  <si>
    <t>Kiểm tra màn hình ngoài chuyển sang giao diện chào mừng nhân viên.</t>
  </si>
  <si>
    <t>1. Đảm bảo nhân viên có trong danh sách nhận diện.
2. Cho nhân viên đi vào vùng camera tại cổng.
3. Quan sát màn hình mặt ngoài.</t>
  </si>
  <si>
    <t>{"person":"registered_employee","name":"Nguyễn Văn A"}</t>
  </si>
  <si>
    <t>1. AI Camera nhận diện đúng nhân viên.
2. Màn hình mặt ngoài chuyển sang giao diện chào mừng.
3. Hiển thị hình ảnh/nhận diện nhân viên theo cấu hình.
4. Không ảnh hưởng nội dung dashboard phía trong nếu không có rule thay đổi.</t>
  </si>
  <si>
    <t>SP-DEMO-LED-001-003</t>
  </si>
  <si>
    <t>Kiểm tra behavior với người lạ hoặc nhân viên chưa đăng ký.</t>
  </si>
  <si>
    <t>1. Đảm bảo người test không có trong danh sách nhân viên.
2. Cho người đi vào vùng camera.
3. Quan sát màn hình mặt ngoài.</t>
  </si>
  <si>
    <t>{"person":"unregistered"}</t>
  </si>
  <si>
    <t>1. Hệ thống không hiển thị thông tin cá nhân sai.
2. Màn hình hiển thị lời chào chung không kèm hình ảnh nhân viên hoặc giữ nội dung mặc định theo rule.
3. Không hiển thị nhầm tên/hình của người khác.</t>
  </si>
  <si>
    <t>SP-DEMO-LED-001-004</t>
  </si>
  <si>
    <t>Kiểm tra timeout của giao diện chào mừng.</t>
  </si>
  <si>
    <t>1. Cho nhân viên đã đăng ký đi vào cổng.
2. Xác nhận màn hình chào mừng hiển thị.
3. Chờ khoảng 30 giây.
4. Quan sát màn hình mặt ngoài.</t>
  </si>
  <si>
    <t>{"welcomeDuration":"30 seconds"}</t>
  </si>
  <si>
    <t>1. Giao diện chào mừng hiển thị trong khoảng 30 giây.
2. Sau khoảng 30 giây màn hình tự quay về nội dung quảng bá mặc định.
3. Không cần thao tác thủ công để reset màn hình.</t>
  </si>
  <si>
    <t>SP-DEMO-LED-001-005</t>
  </si>
  <si>
    <t>Kiểm tra priority/refresh khi nhiều nhân viên đi liên tiếp.</t>
  </si>
  <si>
    <t>1. Cho nhân viên A đi vào và hiển thị welcome.
2. Trong 30 giây, cho nhân viên B đã đăng ký đi vào.
3. Quan sát màn hình mặt ngoài.</t>
  </si>
  <si>
    <t>{"personA":"registered","personB":"registered","interval":"&lt;30s"}</t>
  </si>
  <si>
    <t>1. Màn hình cập nhật theo nhân viên mới nhất hoặc theo rule ưu tiên đã cấu hình.
2. Không hiển thị lẫn thông tin hai người.
3. Timeout 30 giây được reset theo nội dung hiện tại.</t>
  </si>
  <si>
    <t>SP-DEMO-LED-001-006</t>
  </si>
  <si>
    <t>Kiểm tra màn hình khi camera nhận diện nhiều khuôn mặt.</t>
  </si>
  <si>
    <t>1. Cho nhiều người xuất hiện cùng lúc, gồm nhân viên đã đăng ký và người lạ.
2. Quan sát kết quả nhận diện.
3. Quan sát nội dung màn hình ngoài.</t>
  </si>
  <si>
    <t>{"registeredEmployees":2,"unknownPeople":3}</t>
  </si>
  <si>
    <t>1. Hệ thống chọn nội dung hiển thị theo rule ưu tiên rõ ràng.
2. Không hiển thị sai thông tin cá nhân.
3. Không crash khi nhận diện nhiều khuôn mặt.</t>
  </si>
  <si>
    <t>SP-DEMO-LED-001-007</t>
  </si>
  <si>
    <t>Kiểm tra rủi ro privacy khi AI nhận diện nhầm.</t>
  </si>
  <si>
    <t>1. Dùng tình huống khuôn mặt giống nhau hoặc ảnh/video test gây nhầm.
2. Quan sát màn hình welcome.
3. Đối chiếu log nhận diện.</t>
  </si>
  <si>
    <t>{"recognition":"possible_mismatch"}</t>
  </si>
  <si>
    <t>1. Hệ thống không hiển thị thông tin nhân viên nếu confidence dưới ngưỡng.
2. Nếu có hiển thị, log phải có confidence để truy vết.
3. Không leak dữ liệu cá nhân người khác khi chưa đủ tin cậy.</t>
  </si>
  <si>
    <t>SP-DEMO-LED-001-008</t>
  </si>
  <si>
    <t>Kiểm tra chống lặp welcome liên tục.</t>
  </si>
  <si>
    <t>1. Cho nhân viên đã đăng ký đứng trước camera lâu hơn 30 giây.
2. Quan sát màn hình trước và sau timeout.
3. Tiếp tục đứng trong vùng camera.</t>
  </si>
  <si>
    <t>{"person":"registered","stayDuration":"&gt;30s"}</t>
  </si>
  <si>
    <t>1. Màn hình không lặp welcome vô hạn gây khó chịu.
2. Có cooldown hoặc rule giữ nội dung phù hợp.
3. Không spam log/sự kiện nhận diện.</t>
  </si>
  <si>
    <t>SP-DEMO-LED-001-009</t>
  </si>
  <si>
    <t>Kiểm tra hệ thống không kích hoạt welcome khi người không đi vào khu vực trigger tại cổng.</t>
  </si>
  <si>
    <t>1. Cấu hình vùng nhận diện/ROI tại lối vào cổng.
2. Cho người đi ngang bên ngoài ROI, không đi vào hướng cổng.
3. Quan sát màn hình mặt ngoài và trạng thái nhận diện.</t>
  </si>
  <si>
    <t>{"person":"outside_detection_roi","movement":"walk_across","registered":false}</t>
  </si>
  <si>
    <t>1. Camera có thể ghi nhận chuyển động nhưng không xem là sự kiện đi vào cổng.
2. Màn hình mặt ngoài không chuyển sang welcome.
3. Nội dung quảng bá mặc định vẫn được duy trì.
4. Không tạo sự kiện chào mừng sai cho người ngoài vùng nhận diện.</t>
  </si>
  <si>
    <t>SP-DEMO-LED-001-010</t>
  </si>
  <si>
    <t>Kiểm tra nhân viên đã đăng ký nhưng chưa đi vào vùng nhận diện thì không được chào mừng sớm.</t>
  </si>
  <si>
    <t>1. Đảm bảo nhân viên có trong danh sách nhận diện.
2. Cho nhân viên đứng ở ngoài ROI hoặc ở khoảng cách chưa đủ điều kiện trigger.
3. Quan sát màn hình mặt ngoài.
4. Sau đó cho nhân viên đi vào đúng ROI để đối chiếu.</t>
  </si>
  <si>
    <t>{"person":"registered_employee","position":"outside_trigger_zone"}</t>
  </si>
  <si>
    <t>1. Khi nhân viên còn ngoài vùng trigger, màn hình không chuyển sang welcome.
2. Không hiển thị tên/hình nhân viên quá sớm.
3. Khi nhân viên đi vào đúng ROI, màn hình mới chuyển sang welcome theo rule demo.</t>
  </si>
  <si>
    <t>SP-DEMO-LED-001-011</t>
  </si>
  <si>
    <t>Kiểm tra xe chỉ ảnh hưởng logic đếm lưu lượng/đèn, không kích hoạt welcome nhân viên.</t>
  </si>
  <si>
    <t>1. Đưa hệ thống vào khung giờ tối.
2. Cho 1 xe đi qua vùng camera nhưng không có người/khuôn mặt hợp lệ đi vào.
3. Quan sát đèn và màn hình mặt ngoài.</t>
  </si>
  <si>
    <t>{"vehicles":1,"people":0,"faceRecognized":false}</t>
  </si>
  <si>
    <t>1. Đèn tăng theo rule lưu lượng nếu xe nằm trong vùng camera.
2. Màn hình mặt ngoài không hiển thị welcome nhân viên.
3. Nội dung quảng bá/default trên màn hình ngoài vẫn duy trì.
4. Không gán sự kiện xe thành sự kiện người đi vào.</t>
  </si>
  <si>
    <t>SP-DEMO-LED-001-012</t>
  </si>
  <si>
    <t>Kiểm tra vật thể ngoài trời không thuộc nhóm người/xe không kích hoạt dimming hoặc welcome sai.</t>
  </si>
  <si>
    <t>1. Đặt vật thể không phải người/xe trong vùng camera, ví dụ thùng hàng, cây cảnh, biển báo.
2. Quan sát kết quả nhận diện.
3. Quan sát đèn và màn hình mặt ngoài.</t>
  </si>
  <si>
    <t>{"object":"non_person_non_vehicle","inside_roi":true}</t>
  </si>
  <si>
    <t>1. Hệ thống không tính vật thể này vào tổng người/xe.
2. Đèn không tăng sáng nếu không có người/xe thật.
3. Màn hình mặt ngoài không chuyển sang welcome.
4. Nếu AI không chắc chắn, log nên ghi nhận confidence/unknown object để phân tích.</t>
  </si>
  <si>
    <t>SP-DEMO-LED-001-013</t>
  </si>
  <si>
    <t>Kiểm tra AI không nhận diện nhầm hình người trên LED, poster hoặc phản chiếu là người thật đi vào cổng.</t>
  </si>
  <si>
    <t>1. Hiển thị nội dung có hình người trên màn hình LED hoặc đặt poster/hình phản chiếu gần vùng camera.
2. Không cho người thật đi vào cổng.
3. Quan sát đèn và màn hình mặt ngoài.</t>
  </si>
  <si>
    <t>{"source":"led_content_or_reflection","realPerson":false}</t>
  </si>
  <si>
    <t>1. Camera không tạo sự kiện welcome từ hình ảnh/phản chiếu.
2. Đèn không tăng sáng theo người ảo nếu không có người/xe thật.
3. Nội dung màn hình không bị chuyển đổi lặp do chính hình ảnh hiển thị trên LED.</t>
  </si>
  <si>
    <t>SP-DEMO-LED-001-014</t>
  </si>
  <si>
    <t>Kiểm tra fallback màn hình LED khi camera offline.</t>
  </si>
  <si>
    <t>1. Kích hoạt welcome bằng nhân viên đã đăng ký.
2. Mô phỏng camera offline.
3. Quan sát màn hình sau timeout.</t>
  </si>
  <si>
    <t>{"cameraStatus":"offline_during_welcome"}</t>
  </si>
  <si>
    <t>1. Màn hình vẫn quay về nội dung mặc định sau timeout.
2. UI/log ghi nhận camera offline.
3. Không treo ở màn hình welcome vô thời hạn.</t>
  </si>
  <si>
    <t>SP-DEMO-LED-001-015</t>
  </si>
  <si>
    <t>Kiểm tra behavior khi màn hình quảng bá/welcome không nhận lệnh.</t>
  </si>
  <si>
    <t>1. Mô phỏng màn hình mặt ngoài offline.
2. Cho nhân viên đi vào cổng.
3. Quan sát dashboard/log và màn hình mặt trong.</t>
  </si>
  <si>
    <t>{"outerLedStatus":"offline"}</t>
  </si>
  <si>
    <t>1. Hệ thống ghi nhận lỗi màn hình mặt ngoài.
2. Không báo hiển thị welcome thành công giả.
3. Màn hình mặt trong vẫn duy trì dashboard nếu online.</t>
  </si>
  <si>
    <t>SP-DEMO-LED-001-016</t>
  </si>
  <si>
    <t>Kiểm tra behavior khi dashboard phía trong không hiển thị được.</t>
  </si>
  <si>
    <t>1. Mô phỏng màn hình mặt trong offline.
2. Quan sát hệ thống mặc định.
3. Cho người đi vào cổng.</t>
  </si>
  <si>
    <t>{"innerLedStatus":"offline"}</t>
  </si>
  <si>
    <t>1. Hệ thống ghi nhận lỗi màn hình mặt trong.
2. Màn hình mặt ngoài vẫn hiển thị quảng bá/welcome nếu online.
3. Không làm sập toàn bộ luồng multimedia.</t>
  </si>
  <si>
    <t>SP-DEMO-LED-001-017</t>
  </si>
  <si>
    <t>Kiểm tra fallback khi media mặc định không phát được.</t>
  </si>
  <si>
    <t>1. Cấu hình media quảng bá bị thiếu hoặc lỗi định dạng.
2. Đưa màn hình ngoài về trạng thái mặc định.
3. Quan sát màn hình ngoài.</t>
  </si>
  <si>
    <t>{"defaultMedia":"missing_or_corrupted"}</t>
  </si>
  <si>
    <t>1. UI hiển thị fallback rõ ràng hoặc chuyển sang media dự phòng.
2. Không hiển thị màn hình đen kéo dài.
3. Log ghi nhận lỗi file media.</t>
  </si>
  <si>
    <t>SP-DEMO-LED-001-018</t>
  </si>
  <si>
    <t>Kiểm tra fallback dữ liệu dashboard.</t>
  </si>
  <si>
    <t>1. Mô phỏng thiếu dữ liệu thời tiết/môi trường/giao thông.
2. Quan sát màn hình mặt trong.
3. Kiểm tra log dữ liệu.</t>
  </si>
  <si>
    <t>{"weatherData":"missing","trafficData":"missing"}</t>
  </si>
  <si>
    <t>1. Dashboard không hiển thị undefined/null.
2. Các card thiếu dữ liệu có placeholder hoặc trạng thái No data.
3. Màn hình vẫn hiển thị được layout chính.</t>
  </si>
  <si>
    <t>SP-DEMO-LED-001-019</t>
  </si>
  <si>
    <t>Kiểm tra độ ổn định khi demo lặp nhiều lượt khách.</t>
  </si>
  <si>
    <t>1. Cho nhiều nhân viên đã đăng ký đi qua lần lượt.
2. Mỗi lượt chờ màn hình quay về default.
3. Lặp lại nhiều chu kỳ.</t>
  </si>
  <si>
    <t>{"cycles":10,"welcomeDuration":"30s"}</t>
  </si>
  <si>
    <t>1. Mỗi lần nhận diện đều hiển thị welcome đúng.
2. Sau mỗi chu kỳ màn hình quay về default.
3. Không bị memory leak/lag rõ rệt qua nhiều chu kỳ.</t>
  </si>
  <si>
    <t>SP-DEMO-LED-001-020</t>
  </si>
  <si>
    <t>Kiểm tra lỗi network khi điều khiển nội dung hiển thị.</t>
  </si>
  <si>
    <t>1. Mô phỏng mất mạng tới màn hình LED.
2. Kích hoạt luồng welcome hoặc default content update.
3. Quan sát log và UI quản trị.</t>
  </si>
  <si>
    <t>{"network":"led_disconnected"}</t>
  </si>
  <si>
    <t>1. Hệ thống hiển thị lỗi kết nối rõ ràng.
2. Không retry vô hạn gây nghẽn.
3. Khi mạng khôi phục, nội dung có thể đồng bộ lại.</t>
  </si>
  <si>
    <t>SP-DEMO-LED-001-021</t>
  </si>
  <si>
    <t>Kiểm tra trạng thái mặc định sau reboot/power cycle.</t>
  </si>
  <si>
    <t>1. Tắt nguồn/mô phỏng mất điện trụ.
2. Bật lại trụ.
3. Quan sát camera, đèn và hai mặt LED sau khi hệ thống online.</t>
  </si>
  <si>
    <t>{"powerCycle":true}</t>
  </si>
  <si>
    <t>1. Trụ khởi động lại an toàn.
2. Đèn về mức mặc định phù hợp.
3. Màn hình hai mặt hiển thị nội dung mặc định.
4. Camera online lại và tiếp tục nhận diện.</t>
  </si>
  <si>
    <t>SP-DEMO-INTEGRATION-001</t>
  </si>
  <si>
    <t>Luồng tích hợp camera, đèn và màn hình LED</t>
  </si>
  <si>
    <t>SP-DEMO-INTEGRATION-001-001</t>
  </si>
  <si>
    <t>Kiểm tra luồng tích hợp khi có nhân viên đi vào cùng phương tiện.</t>
  </si>
  <si>
    <t>1. Đưa hệ thống vào khung giờ tối.
2. Cho nhân viên đã đăng ký đi vào cổng cùng 1 xe.
3. Quan sát đèn và màn hình ngoài.</t>
  </si>
  <si>
    <t>{"time":"20:00","registeredEmployee":1,"vehicles":1}</t>
  </si>
  <si>
    <t>1. Camera đếm tổng 2 đối tượng và đèn lên 60%.
2. Màn hình ngoài hiển thị welcome nhân viên.
3. Màn hình trong giữ dashboard nếu không có rule khác.
4. Sau khi hết lưu lượng, đèn giữ sáng khoảng 2 phút rồi về 30%.</t>
  </si>
  <si>
    <t>SP-DEMO-INTEGRATION-001-002</t>
  </si>
  <si>
    <t>Kiểm tra đèn tăng sáng nhưng màn hình không hiển thị thông tin cá nhân.</t>
  </si>
  <si>
    <t>1. Đưa hệ thống vào khung giờ tối.
2. Cho nhiều người/xe không đăng ký đi qua.
3. Quan sát đèn và màn hình ngoài.</t>
  </si>
  <si>
    <t>{"time":"21:00","registeredEmployee":0,"people":4,"vehicles":3}</t>
  </si>
  <si>
    <t>1. Đèn tăng lên 100% do tổng đối tượng lớn.
2. Màn hình ngoài giữ quảng bá hoặc lời chào chung.
3. Không hiển thị nhầm thông tin nhân viên.</t>
  </si>
  <si>
    <t>SP-DEMO-INTEGRATION-001-003</t>
  </si>
  <si>
    <t>Kiểm tra welcome hoạt động độc lập với rule dimming ban đêm.</t>
  </si>
  <si>
    <t>1. Đặt thời gian ban ngày.
2. Cho nhân viên đã đăng ký đi vào cổng.
3. Quan sát đèn và màn hình ngoài.</t>
  </si>
  <si>
    <t>{"time":"12:00","registeredEmployee":1}</t>
  </si>
  <si>
    <t>1. Màn hình ngoài vẫn có thể hiển thị welcome theo rule multimedia.
2. Đèn không áp dụng dimming ban đêm nếu ngoài khung giờ.
3. Hai chức năng không phụ thuộc sai vào nhau.</t>
  </si>
  <si>
    <t>SP-DEMO-INTEGRATION-001-004</t>
  </si>
  <si>
    <t>Kiểm tra phân tách logic đếm lưu lượng và nhận diện nhân viên.</t>
  </si>
  <si>
    <t>1. Đưa hệ thống vào khung giờ tối.
2. Cho người quay lưng/đeo khẩu trang đi qua.
3. Quan sát đèn và màn hình ngoài.</t>
  </si>
  <si>
    <t>{"peopleDetected":1,"faceRecognized":false}</t>
  </si>
  <si>
    <t>1. Đèn tăng theo tổng đối tượng nếu camera phát hiện người.
2. Màn hình ngoài không hiển thị thông tin nhân viên khi không nhận diện được khuôn mặt.
3. Không báo lỗi toàn luồng.</t>
  </si>
  <si>
    <t>SP-DEMO-INTEGRATION-001-005</t>
  </si>
  <si>
    <t>Kiểm tra tác động của sai lệch thời gian lên dimming và schedule màn hình.</t>
  </si>
  <si>
    <t>1. Mô phỏng đồng hồ hệ thống sai lệch so với thời gian thực.
2. Cho người/xe đi qua.
3. Quan sát đèn và màn hình.</t>
  </si>
  <si>
    <t>{"systemClock":"wrong_time"}</t>
  </si>
  <si>
    <t>1. Hệ thống có log/cảnh báo nếu đồng hồ sai lệch.
2. Rule dimming và schedule không chạy sai mà không có dấu hiệu.
3. Có cơ chế đồng bộ thời gian hoặc fallback an toàn.</t>
  </si>
  <si>
    <t>SP-DEMO-INTEGRATION-001-006</t>
  </si>
  <si>
    <t>Kiểm tra toàn bộ trụ trong điều kiện mạng ngoài trời không ổn định.</t>
  </si>
  <si>
    <t>1. Mô phỏng mạng chập chờn giữa camera/backend/LED/light controller.
2. Tạo luồng người/xe và welcome.
3. Quan sát sau khi mạng ổn định lại.</t>
  </si>
  <si>
    <t>{"network":"intermittent"}</t>
  </si>
  <si>
    <t>1. Hệ thống không mất state nghiêm trọng.
2. Command lỗi có log rõ ràng.
3. Sau khi mạng khôi phục, đèn và màn hình đồng bộ lại theo trạng thái mới nhất.</t>
  </si>
  <si>
    <t>Settings</t>
  </si>
  <si>
    <t>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</si>
</sst>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7">
    <font>
      <sz val="11"/>
      <color theme="1"/>
      <name val="Aptos Narrow"/>
      <family val="2"/>
      <scheme val="minor"/>
    </font>
    <font>
      <u/>
      <sz val="11"/>
      <color theme="10"/>
      <name val="Aptos Narrow"/>
      <family val="2"/>
      <scheme val="minor"/>
    </font>
    <font>
      <sz val="13"/>
      <color theme="1"/>
      <name val="Times New Roman"/>
      <family val="1"/>
    </font>
    <font>
      <u/>
      <sz val="13"/>
      <color theme="10"/>
      <name val="Times New Roman"/>
      <family val="1"/>
    </font>
    <font>
      <sz val="13"/>
      <color theme="0"/>
      <name val="Times New Roman"/>
      <family val="1"/>
    </font>
    <font>
      <b/>
      <sz val="13"/>
      <color rgb="FF000000"/>
      <name val="Times New Roman"/>
      <family val="1"/>
    </font>
    <font>
      <sz val="11"/>
      <color rgb="FF000000"/>
      <name val="Calibri"/>
      <family val="2"/>
    </font>
    <font>
      <sz val="11"/>
      <color rgb="FF000000"/>
      <name val="Aptos Narrow"/>
      <family val="2"/>
    </font>
    <font>
      <sz val="11"/>
      <color theme="1"/>
      <name val="Times New Roman"/>
      <family val="1"/>
    </font>
    <font>
      <sz val="13"/>
      <color rgb="FF000000"/>
      <name val="Times New Roman"/>
      <family val="1"/>
    </font>
    <font>
      <sz val="13"/>
      <color theme="1"/>
      <name val="Times New Roman"/>
      <family val="1"/>
    </font>
    <font>
      <strike/>
      <sz val="13"/>
      <color theme="1"/>
      <name val="Times New Roman"/>
      <family val="1"/>
    </font>
    <font>
      <sz val="11"/>
      <color rgb="FF000000"/>
      <name val="Times New Roman"/>
      <family val="1"/>
    </font>
    <font>
      <sz val="13"/>
      <color rgb="FFFFFFFF"/>
      <name val="Times New Roman"/>
      <family val="1"/>
    </font>
    <font>
      <sz val="13"/>
      <color theme="1"/>
      <name val="time"/>
    </font>
    <font>
      <b/>
      <sz val="13"/>
      <name val="Times New Roman"/>
      <family val="1"/>
    </font>
    <font>
      <b/>
      <sz val="11"/>
      <name val="Calibri"/>
      <family val="2"/>
    </font>
    <font>
      <sz val="11"/>
      <name val="Times New Roman"/>
      <family val="1"/>
    </font>
    <font>
      <b/>
      <sz val="11"/>
      <color rgb="FF000000"/>
      <name val="Times New Roman"/>
      <family val="1"/>
    </font>
    <font>
      <sz val="11"/>
      <color rgb="FF000000"/>
      <name val="Aptos Narrow"/>
      <family val="2"/>
      <scheme val="minor"/>
    </font>
    <font>
      <b/>
      <sz val="11"/>
      <color rgb="FF2E7D32"/>
      <name val="Times New Roman"/>
      <family val="1"/>
    </font>
    <font>
      <b/>
      <sz val="11"/>
      <color rgb="FFE65100"/>
      <name val="Times New Roman"/>
      <family val="1"/>
    </font>
    <font>
      <b/>
      <sz val="11"/>
      <color rgb="FF3A3838"/>
      <name val="Times New Roman"/>
      <family val="1"/>
    </font>
    <font>
      <sz val="11"/>
      <name val="Calibri"/>
      <family val="2"/>
    </font>
    <font>
      <sz val="11"/>
      <color rgb="FF000000"/>
      <name val="Aptos Narrow"/>
    </font>
    <font>
      <strike/>
      <sz val="11"/>
      <color theme="1"/>
      <name val="Aptos Narrow"/>
      <family val="2"/>
      <scheme val="minor"/>
    </font>
    <font>
      <b/>
      <sz val="11"/>
      <name val="Times New Roman"/>
      <family val="1"/>
    </font>
  </fonts>
  <fills count="22">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rgb="FF00B050"/>
        <bgColor indexed="64"/>
      </patternFill>
    </fill>
    <fill>
      <patternFill patternType="solid">
        <fgColor rgb="FFFF0000"/>
        <bgColor indexed="64"/>
      </patternFill>
    </fill>
    <fill>
      <patternFill patternType="solid">
        <fgColor rgb="FFFFC000"/>
        <bgColor rgb="FF000000"/>
      </patternFill>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FFFFFF"/>
        <bgColor rgb="FF000000"/>
      </patternFill>
    </fill>
    <fill>
      <patternFill patternType="solid">
        <fgColor rgb="FF00B050"/>
        <bgColor rgb="FF000000"/>
      </patternFill>
    </fill>
    <fill>
      <patternFill patternType="solid">
        <fgColor rgb="FFFF0000"/>
        <bgColor rgb="FF000000"/>
      </patternFill>
    </fill>
    <fill>
      <patternFill patternType="solid">
        <fgColor rgb="FF00B050"/>
        <bgColor rgb="FF00B050"/>
      </patternFill>
    </fill>
    <fill>
      <patternFill patternType="solid">
        <fgColor rgb="FFFF0000"/>
        <bgColor rgb="FFFF0000"/>
      </patternFill>
    </fill>
    <fill>
      <patternFill patternType="solid">
        <fgColor rgb="FFFFFFFF"/>
        <bgColor rgb="FFFFFFFF"/>
      </patternFill>
    </fill>
    <fill>
      <patternFill patternType="solid">
        <fgColor rgb="FFFFC000"/>
        <bgColor rgb="FFFFC000"/>
      </patternFill>
    </fill>
    <fill>
      <patternFill patternType="solid">
        <fgColor rgb="FFE8F5E9"/>
        <bgColor rgb="FF000000"/>
      </patternFill>
    </fill>
    <fill>
      <patternFill patternType="solid">
        <fgColor rgb="FFC6EFCE"/>
        <bgColor rgb="FF000000"/>
      </patternFill>
    </fill>
    <fill>
      <patternFill patternType="solid">
        <fgColor rgb="FFFFC7CE"/>
        <bgColor rgb="FF000000"/>
      </patternFill>
    </fill>
    <fill>
      <patternFill patternType="solid">
        <fgColor rgb="FFE8F5E9"/>
      </patternFill>
    </fill>
    <fill>
      <patternFill patternType="solid">
        <fgColor rgb="FFFFF3E0"/>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246">
    <xf numFmtId="0" fontId="0" fillId="0" borderId="0" xfId="0"/>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164" fontId="2" fillId="0" borderId="3" xfId="0" applyNumberFormat="1" applyFont="1" applyBorder="1" applyAlignment="1">
      <alignment horizontal="center" vertical="center" wrapText="1"/>
    </xf>
    <xf numFmtId="164" fontId="2" fillId="4" borderId="3" xfId="0" applyNumberFormat="1" applyFont="1" applyFill="1" applyBorder="1" applyAlignment="1">
      <alignment horizontal="center" vertical="center" wrapText="1"/>
    </xf>
    <xf numFmtId="164" fontId="4" fillId="5" borderId="3"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0" fontId="5" fillId="6" borderId="2"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0" borderId="1" xfId="0" applyBorder="1" applyAlignment="1">
      <alignment wrapText="1"/>
    </xf>
    <xf numFmtId="0" fontId="0" fillId="0" borderId="1" xfId="0" applyBorder="1"/>
    <xf numFmtId="0" fontId="8" fillId="0" borderId="1" xfId="0" applyFont="1" applyBorder="1" applyAlignment="1">
      <alignment horizontal="center" vertical="center" wrapText="1"/>
    </xf>
    <xf numFmtId="0" fontId="0" fillId="0" borderId="0" xfId="0" applyAlignment="1">
      <alignment vertical="center"/>
    </xf>
    <xf numFmtId="0" fontId="9" fillId="0" borderId="1" xfId="0" applyFont="1" applyBorder="1" applyAlignment="1">
      <alignment wrapText="1"/>
    </xf>
    <xf numFmtId="0" fontId="0" fillId="0" borderId="0" xfId="0" applyAlignment="1">
      <alignment wrapText="1"/>
    </xf>
    <xf numFmtId="0" fontId="9" fillId="0" borderId="2" xfId="0" applyFont="1" applyBorder="1" applyAlignment="1">
      <alignment wrapText="1"/>
    </xf>
    <xf numFmtId="0" fontId="9" fillId="0" borderId="1" xfId="0" applyFont="1" applyBorder="1" applyAlignment="1">
      <alignment horizontal="left" vertical="center" wrapText="1"/>
    </xf>
    <xf numFmtId="0" fontId="9" fillId="0" borderId="8" xfId="0" applyFont="1" applyBorder="1" applyAlignment="1">
      <alignment wrapText="1"/>
    </xf>
    <xf numFmtId="0" fontId="9" fillId="0" borderId="4" xfId="0" applyFont="1" applyBorder="1" applyAlignment="1">
      <alignment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0" xfId="0" applyFont="1" applyBorder="1" applyAlignment="1">
      <alignment wrapText="1"/>
    </xf>
    <xf numFmtId="0" fontId="9" fillId="0" borderId="1" xfId="0" applyFont="1" applyBorder="1" applyAlignment="1">
      <alignment vertical="center" wrapText="1"/>
    </xf>
    <xf numFmtId="0" fontId="0" fillId="0" borderId="0" xfId="0" applyAlignment="1">
      <alignment horizontal="center" vertical="center"/>
    </xf>
    <xf numFmtId="0" fontId="9" fillId="0" borderId="8" xfId="0" applyFont="1" applyBorder="1" applyAlignment="1">
      <alignment horizontal="center" vertical="center" wrapText="1"/>
    </xf>
    <xf numFmtId="0" fontId="11" fillId="0" borderId="1" xfId="0" applyFont="1" applyBorder="1" applyAlignment="1">
      <alignment horizontal="left" vertical="center" wrapText="1"/>
    </xf>
    <xf numFmtId="0" fontId="0" fillId="8" borderId="0" xfId="0" applyFill="1"/>
    <xf numFmtId="0" fontId="6" fillId="0" borderId="8" xfId="0" applyFont="1" applyBorder="1" applyAlignment="1">
      <alignment wrapText="1"/>
    </xf>
    <xf numFmtId="0" fontId="6" fillId="0" borderId="9" xfId="0" applyFont="1" applyBorder="1" applyAlignment="1">
      <alignment wrapText="1"/>
    </xf>
    <xf numFmtId="0" fontId="11" fillId="0" borderId="3" xfId="0" applyFont="1" applyBorder="1" applyAlignment="1">
      <alignment horizontal="left" vertical="center" wrapText="1"/>
    </xf>
    <xf numFmtId="0" fontId="2" fillId="2" borderId="2" xfId="0" applyFont="1" applyFill="1" applyBorder="1" applyAlignment="1">
      <alignment horizontal="center" vertical="center" wrapText="1"/>
    </xf>
    <xf numFmtId="0" fontId="7" fillId="0" borderId="0" xfId="0" applyFont="1"/>
    <xf numFmtId="0" fontId="2" fillId="2" borderId="1" xfId="0" applyFont="1" applyFill="1" applyBorder="1" applyAlignment="1">
      <alignment horizontal="center" vertical="center" wrapText="1"/>
    </xf>
    <xf numFmtId="0" fontId="8" fillId="0" borderId="0" xfId="0" applyFont="1" applyAlignment="1">
      <alignment vertical="center"/>
    </xf>
    <xf numFmtId="0" fontId="8" fillId="0" borderId="1" xfId="0" applyFont="1" applyBorder="1" applyAlignment="1">
      <alignment vertical="center" wrapText="1"/>
    </xf>
    <xf numFmtId="0" fontId="12" fillId="0" borderId="0" xfId="0" applyFont="1" applyAlignment="1">
      <alignment vertical="center"/>
    </xf>
    <xf numFmtId="0" fontId="12" fillId="0" borderId="0" xfId="0" applyFont="1"/>
    <xf numFmtId="0" fontId="12" fillId="0" borderId="8" xfId="0" applyFont="1" applyBorder="1" applyAlignment="1">
      <alignment vertical="center" wrapText="1"/>
    </xf>
    <xf numFmtId="0" fontId="12" fillId="0" borderId="9" xfId="0" applyFont="1" applyBorder="1" applyAlignment="1">
      <alignment vertical="center" wrapText="1"/>
    </xf>
    <xf numFmtId="0" fontId="8" fillId="0" borderId="0" xfId="0" applyFont="1"/>
    <xf numFmtId="0" fontId="12" fillId="0" borderId="13" xfId="0" applyFont="1" applyBorder="1" applyAlignment="1">
      <alignment wrapText="1"/>
    </xf>
    <xf numFmtId="0" fontId="12" fillId="0" borderId="15" xfId="0" applyFont="1" applyBorder="1" applyAlignment="1">
      <alignment wrapText="1"/>
    </xf>
    <xf numFmtId="0" fontId="12" fillId="0" borderId="1" xfId="0" applyFont="1" applyBorder="1" applyAlignment="1">
      <alignment horizontal="center" vertical="center" wrapText="1"/>
    </xf>
    <xf numFmtId="0" fontId="5" fillId="6" borderId="12" xfId="0" applyFont="1" applyFill="1" applyBorder="1" applyAlignment="1">
      <alignment horizontal="center" vertical="center" wrapText="1"/>
    </xf>
    <xf numFmtId="0" fontId="12" fillId="0" borderId="8" xfId="0" applyFont="1" applyBorder="1" applyAlignment="1">
      <alignment horizontal="center" vertical="center"/>
    </xf>
    <xf numFmtId="0" fontId="12" fillId="0" borderId="15" xfId="0" applyFont="1" applyBorder="1" applyAlignment="1">
      <alignment vertical="center" wrapText="1"/>
    </xf>
    <xf numFmtId="0" fontId="12" fillId="0" borderId="12" xfId="0" applyFont="1" applyBorder="1" applyAlignment="1">
      <alignment vertical="center" wrapText="1"/>
    </xf>
    <xf numFmtId="0" fontId="12" fillId="0" borderId="1" xfId="0" applyFont="1" applyBorder="1" applyAlignment="1">
      <alignment vertical="center" wrapText="1"/>
    </xf>
    <xf numFmtId="0" fontId="12" fillId="0" borderId="13" xfId="0" applyFont="1" applyBorder="1" applyAlignment="1">
      <alignment horizontal="center" vertical="center"/>
    </xf>
    <xf numFmtId="0" fontId="9" fillId="11" borderId="3" xfId="0" applyFont="1" applyFill="1" applyBorder="1" applyAlignment="1">
      <alignment horizontal="center" vertical="center" wrapText="1"/>
    </xf>
    <xf numFmtId="0" fontId="13" fillId="12" borderId="3" xfId="0" applyFont="1" applyFill="1" applyBorder="1" applyAlignment="1">
      <alignment horizontal="center" vertical="center" wrapText="1"/>
    </xf>
    <xf numFmtId="164" fontId="2" fillId="0" borderId="1" xfId="0" applyNumberFormat="1" applyFont="1" applyBorder="1" applyAlignment="1">
      <alignment vertical="center" wrapText="1"/>
    </xf>
    <xf numFmtId="164" fontId="2" fillId="0" borderId="8" xfId="0" applyNumberFormat="1" applyFont="1" applyBorder="1" applyAlignment="1">
      <alignment horizontal="center" vertical="center" wrapText="1"/>
    </xf>
    <xf numFmtId="0" fontId="5" fillId="7" borderId="2" xfId="0" applyFont="1" applyFill="1" applyBorder="1" applyAlignment="1">
      <alignment horizontal="center" vertical="center" wrapText="1"/>
    </xf>
    <xf numFmtId="0" fontId="8" fillId="0" borderId="0" xfId="0" applyFont="1" applyAlignment="1">
      <alignment horizontal="center" vertical="center" wrapText="1"/>
    </xf>
    <xf numFmtId="0" fontId="10" fillId="0" borderId="0" xfId="0" applyFont="1"/>
    <xf numFmtId="0" fontId="9" fillId="0" borderId="10" xfId="0" applyFont="1" applyBorder="1" applyAlignment="1">
      <alignment horizontal="center" vertical="center" wrapText="1"/>
    </xf>
    <xf numFmtId="0" fontId="9" fillId="0" borderId="13" xfId="0" applyFont="1" applyBorder="1" applyAlignment="1">
      <alignment wrapText="1"/>
    </xf>
    <xf numFmtId="0" fontId="12" fillId="0" borderId="2" xfId="0" applyFont="1" applyBorder="1" applyAlignment="1">
      <alignment vertical="center" wrapText="1"/>
    </xf>
    <xf numFmtId="0" fontId="12" fillId="0" borderId="16" xfId="0" applyFont="1" applyBorder="1" applyAlignment="1">
      <alignment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12" fillId="0" borderId="19" xfId="0" applyFont="1" applyBorder="1" applyAlignment="1">
      <alignment vertical="center" wrapText="1"/>
    </xf>
    <xf numFmtId="0" fontId="12" fillId="0" borderId="19" xfId="0" quotePrefix="1" applyFont="1" applyBorder="1" applyAlignment="1">
      <alignment vertical="center" wrapText="1"/>
    </xf>
    <xf numFmtId="0" fontId="8" fillId="0" borderId="1" xfId="0" quotePrefix="1" applyFont="1" applyBorder="1" applyAlignment="1">
      <alignment vertical="center" wrapText="1"/>
    </xf>
    <xf numFmtId="0" fontId="0" fillId="0" borderId="1" xfId="0" applyBorder="1" applyAlignment="1">
      <alignment horizontal="center" vertical="center" wrapText="1"/>
    </xf>
    <xf numFmtId="0" fontId="8" fillId="0" borderId="0" xfId="0" applyFont="1" applyAlignment="1">
      <alignment horizontal="center" vertical="center"/>
    </xf>
    <xf numFmtId="0" fontId="0" fillId="0" borderId="0" xfId="0" applyAlignment="1">
      <alignment horizontal="center"/>
    </xf>
    <xf numFmtId="0" fontId="8" fillId="0" borderId="0" xfId="0" applyFont="1" applyAlignment="1">
      <alignment horizontal="center"/>
    </xf>
    <xf numFmtId="0" fontId="14" fillId="0" borderId="1" xfId="0" applyFont="1" applyBorder="1" applyAlignment="1">
      <alignment horizontal="center" vertical="center"/>
    </xf>
    <xf numFmtId="0" fontId="14" fillId="0" borderId="0" xfId="0" applyFont="1" applyAlignment="1">
      <alignment vertical="center"/>
    </xf>
    <xf numFmtId="0" fontId="15" fillId="6" borderId="1" xfId="0" applyFont="1" applyFill="1" applyBorder="1" applyAlignment="1">
      <alignment horizontal="center" vertical="center" wrapText="1"/>
    </xf>
    <xf numFmtId="0" fontId="9" fillId="0" borderId="0" xfId="0" applyFont="1" applyAlignment="1">
      <alignment horizontal="center" vertical="center"/>
    </xf>
    <xf numFmtId="0" fontId="15" fillId="9" borderId="1"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9" fillId="0" borderId="9" xfId="0" applyFont="1" applyBorder="1" applyAlignment="1">
      <alignment horizontal="center" vertical="center" wrapText="1"/>
    </xf>
    <xf numFmtId="0" fontId="15" fillId="6" borderId="8" xfId="0" applyFont="1" applyFill="1" applyBorder="1" applyAlignment="1">
      <alignment horizontal="center" vertical="center" wrapText="1"/>
    </xf>
    <xf numFmtId="0" fontId="16" fillId="6" borderId="1" xfId="0" applyFont="1" applyFill="1" applyBorder="1" applyAlignment="1">
      <alignment vertical="center" wrapText="1"/>
    </xf>
    <xf numFmtId="0" fontId="6" fillId="0" borderId="0" xfId="0" applyFont="1" applyAlignment="1">
      <alignment vertical="center"/>
    </xf>
    <xf numFmtId="0" fontId="16" fillId="6" borderId="3" xfId="0" applyFont="1" applyFill="1" applyBorder="1" applyAlignment="1">
      <alignment vertical="center" wrapText="1"/>
    </xf>
    <xf numFmtId="0" fontId="6" fillId="0" borderId="9" xfId="0" applyFont="1" applyBorder="1" applyAlignment="1">
      <alignment vertical="center" wrapText="1"/>
    </xf>
    <xf numFmtId="0" fontId="6" fillId="13" borderId="9" xfId="0" applyFont="1" applyFill="1" applyBorder="1" applyAlignment="1">
      <alignment vertical="center" wrapText="1"/>
    </xf>
    <xf numFmtId="0" fontId="6" fillId="14" borderId="9" xfId="0" applyFont="1" applyFill="1" applyBorder="1" applyAlignment="1">
      <alignment vertical="center" wrapText="1"/>
    </xf>
    <xf numFmtId="0" fontId="6" fillId="15" borderId="8" xfId="0" applyFont="1" applyFill="1" applyBorder="1" applyAlignment="1">
      <alignment vertical="center" wrapText="1"/>
    </xf>
    <xf numFmtId="0" fontId="6" fillId="16" borderId="8" xfId="0" applyFont="1" applyFill="1" applyBorder="1" applyAlignment="1">
      <alignment vertical="center" wrapText="1"/>
    </xf>
    <xf numFmtId="0" fontId="6" fillId="15" borderId="9" xfId="0" applyFont="1" applyFill="1" applyBorder="1" applyAlignment="1">
      <alignment vertical="center" wrapText="1"/>
    </xf>
    <xf numFmtId="0" fontId="6" fillId="16" borderId="9" xfId="0" applyFont="1" applyFill="1" applyBorder="1" applyAlignment="1">
      <alignment vertical="center" wrapText="1"/>
    </xf>
    <xf numFmtId="0" fontId="16" fillId="6" borderId="8" xfId="0" applyFont="1" applyFill="1" applyBorder="1" applyAlignment="1">
      <alignment vertical="center" wrapText="1"/>
    </xf>
    <xf numFmtId="14" fontId="0" fillId="0" borderId="0" xfId="0" applyNumberFormat="1" applyAlignment="1">
      <alignment horizontal="center"/>
    </xf>
    <xf numFmtId="0" fontId="17" fillId="0" borderId="1" xfId="0" applyFont="1" applyBorder="1" applyAlignment="1">
      <alignment vertical="center" wrapText="1"/>
    </xf>
    <xf numFmtId="1" fontId="2" fillId="0" borderId="2" xfId="0" applyNumberFormat="1" applyFont="1" applyBorder="1" applyAlignment="1">
      <alignment horizontal="center" vertical="center" wrapText="1"/>
    </xf>
    <xf numFmtId="0" fontId="0" fillId="0" borderId="1" xfId="0" applyBorder="1" applyAlignment="1">
      <alignment horizontal="center" vertical="center"/>
    </xf>
    <xf numFmtId="0" fontId="9" fillId="0" borderId="6" xfId="0" applyFont="1" applyBorder="1" applyAlignment="1">
      <alignment horizontal="center" vertical="center" wrapText="1"/>
    </xf>
    <xf numFmtId="0" fontId="17" fillId="0" borderId="3" xfId="0" applyFont="1" applyBorder="1" applyAlignment="1">
      <alignment vertical="center" wrapText="1"/>
    </xf>
    <xf numFmtId="0" fontId="17" fillId="0" borderId="9" xfId="0" applyFont="1" applyBorder="1" applyAlignment="1">
      <alignment vertical="center" wrapText="1"/>
    </xf>
    <xf numFmtId="0" fontId="18" fillId="6" borderId="1" xfId="0" applyFont="1" applyFill="1" applyBorder="1" applyAlignment="1">
      <alignment horizontal="center" vertical="center" wrapText="1"/>
    </xf>
    <xf numFmtId="0" fontId="18" fillId="6" borderId="8" xfId="0" applyFont="1" applyFill="1" applyBorder="1" applyAlignment="1">
      <alignment horizontal="center" vertical="center" wrapText="1"/>
    </xf>
    <xf numFmtId="0" fontId="14" fillId="0" borderId="0" xfId="0" applyFont="1" applyAlignment="1">
      <alignment horizontal="center" vertical="center"/>
    </xf>
    <xf numFmtId="0" fontId="17" fillId="0" borderId="8" xfId="0" applyFont="1" applyBorder="1" applyAlignment="1">
      <alignment vertical="center" wrapText="1"/>
    </xf>
    <xf numFmtId="0" fontId="9" fillId="0" borderId="1" xfId="0" applyFont="1" applyBorder="1" applyAlignment="1">
      <alignment horizontal="center" vertical="center"/>
    </xf>
    <xf numFmtId="0" fontId="9" fillId="0" borderId="15" xfId="0" applyFont="1" applyBorder="1" applyAlignment="1">
      <alignment horizontal="center" vertical="center" wrapText="1"/>
    </xf>
    <xf numFmtId="0" fontId="9" fillId="13" borderId="12"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18" fillId="6" borderId="9" xfId="0" applyFont="1" applyFill="1" applyBorder="1" applyAlignment="1">
      <alignment horizontal="center" vertical="center" wrapText="1"/>
    </xf>
    <xf numFmtId="14" fontId="9" fillId="0" borderId="12"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2" fillId="2" borderId="6" xfId="0" applyFont="1" applyFill="1" applyBorder="1" applyAlignment="1">
      <alignment horizontal="center" vertical="center" wrapText="1"/>
    </xf>
    <xf numFmtId="0" fontId="5" fillId="9" borderId="1" xfId="0" applyFont="1" applyFill="1" applyBorder="1" applyAlignment="1">
      <alignment horizontal="center" wrapText="1"/>
    </xf>
    <xf numFmtId="0" fontId="12" fillId="0" borderId="1" xfId="0" applyFont="1" applyBorder="1" applyAlignment="1">
      <alignment horizontal="center"/>
    </xf>
    <xf numFmtId="0" fontId="12" fillId="0" borderId="1" xfId="0" applyFont="1" applyBorder="1" applyAlignment="1">
      <alignment horizontal="center" vertical="center"/>
    </xf>
    <xf numFmtId="0" fontId="7" fillId="0" borderId="1" xfId="0" applyFont="1" applyBorder="1" applyAlignment="1">
      <alignment horizontal="center"/>
    </xf>
    <xf numFmtId="0" fontId="8" fillId="0" borderId="1" xfId="0" applyFont="1" applyBorder="1" applyAlignment="1">
      <alignment horizontal="center" vertical="center"/>
    </xf>
    <xf numFmtId="1" fontId="2" fillId="0" borderId="4" xfId="0" applyNumberFormat="1" applyFont="1" applyBorder="1" applyAlignment="1">
      <alignment horizontal="center" vertical="center" wrapText="1"/>
    </xf>
    <xf numFmtId="14" fontId="8" fillId="0" borderId="0" xfId="0" applyNumberFormat="1" applyFont="1" applyAlignment="1">
      <alignment horizontal="center"/>
    </xf>
    <xf numFmtId="0" fontId="8" fillId="0" borderId="0" xfId="0" applyFont="1" applyAlignment="1">
      <alignment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19" fillId="0" borderId="0" xfId="0" applyFont="1" applyAlignment="1">
      <alignment horizontal="center"/>
    </xf>
    <xf numFmtId="0" fontId="0" fillId="0" borderId="0" xfId="0" applyAlignment="1">
      <alignment horizontal="center" vertical="center" wrapText="1"/>
    </xf>
    <xf numFmtId="14" fontId="0" fillId="0" borderId="1" xfId="0" applyNumberFormat="1" applyBorder="1" applyAlignment="1">
      <alignment horizontal="center" vertical="center"/>
    </xf>
    <xf numFmtId="0" fontId="17" fillId="0" borderId="1" xfId="0" applyFont="1" applyBorder="1" applyAlignment="1">
      <alignment wrapText="1"/>
    </xf>
    <xf numFmtId="0" fontId="17" fillId="0" borderId="8" xfId="0" applyFont="1" applyBorder="1" applyAlignment="1">
      <alignment wrapText="1"/>
    </xf>
    <xf numFmtId="0" fontId="20" fillId="17" borderId="8" xfId="0" applyFont="1" applyFill="1" applyBorder="1" applyAlignment="1">
      <alignment horizontal="center" vertical="center" wrapText="1"/>
    </xf>
    <xf numFmtId="0" fontId="20" fillId="17" borderId="9" xfId="0" applyFont="1" applyFill="1" applyBorder="1" applyAlignment="1">
      <alignment horizontal="center" vertical="center" wrapText="1"/>
    </xf>
    <xf numFmtId="0" fontId="17" fillId="0" borderId="15" xfId="0" applyFont="1" applyBorder="1" applyAlignment="1">
      <alignment vertical="center" wrapText="1"/>
    </xf>
    <xf numFmtId="0" fontId="20" fillId="17" borderId="13" xfId="0" applyFont="1" applyFill="1" applyBorder="1" applyAlignment="1">
      <alignment horizontal="center" vertical="center" wrapText="1"/>
    </xf>
    <xf numFmtId="0" fontId="20" fillId="17" borderId="15" xfId="0" applyFont="1" applyFill="1" applyBorder="1" applyAlignment="1">
      <alignment horizontal="center" vertical="center" wrapText="1"/>
    </xf>
    <xf numFmtId="0" fontId="20" fillId="17" borderId="0" xfId="0" applyFont="1" applyFill="1" applyAlignment="1">
      <alignment horizontal="center" vertical="center" wrapText="1"/>
    </xf>
    <xf numFmtId="0" fontId="22" fillId="0" borderId="11" xfId="0" applyFont="1" applyBorder="1" applyAlignment="1">
      <alignment horizontal="center" vertical="center" wrapText="1"/>
    </xf>
    <xf numFmtId="0" fontId="23" fillId="0" borderId="0" xfId="0" applyFont="1"/>
    <xf numFmtId="0" fontId="16" fillId="6" borderId="20" xfId="0" applyFont="1" applyFill="1" applyBorder="1" applyAlignment="1">
      <alignment wrapText="1"/>
    </xf>
    <xf numFmtId="0" fontId="16" fillId="6" borderId="21" xfId="0" applyFont="1" applyFill="1" applyBorder="1" applyAlignment="1">
      <alignment wrapText="1"/>
    </xf>
    <xf numFmtId="14" fontId="0" fillId="0" borderId="1" xfId="0" applyNumberFormat="1" applyBorder="1" applyAlignment="1">
      <alignment horizontal="center"/>
    </xf>
    <xf numFmtId="0" fontId="19" fillId="0" borderId="1" xfId="0" applyFont="1" applyBorder="1" applyAlignment="1">
      <alignment horizontal="center"/>
    </xf>
    <xf numFmtId="0" fontId="0" fillId="7" borderId="0" xfId="0" applyFill="1"/>
    <xf numFmtId="0" fontId="9" fillId="0" borderId="9" xfId="0" applyFont="1" applyBorder="1" applyAlignment="1">
      <alignment horizontal="left" vertical="center" wrapText="1"/>
    </xf>
    <xf numFmtId="0" fontId="17" fillId="0" borderId="1" xfId="0" applyFont="1" applyBorder="1" applyAlignment="1">
      <alignment horizontal="left" vertical="center" wrapText="1"/>
    </xf>
    <xf numFmtId="0" fontId="20" fillId="20" borderId="1" xfId="0" applyFont="1" applyFill="1" applyBorder="1" applyAlignment="1">
      <alignment horizontal="left" vertical="center" wrapText="1"/>
    </xf>
    <xf numFmtId="0" fontId="0" fillId="0" borderId="0" xfId="0" applyAlignment="1">
      <alignment horizontal="left" vertical="center" wrapText="1"/>
    </xf>
    <xf numFmtId="0" fontId="21" fillId="21" borderId="1" xfId="0" applyFont="1" applyFill="1" applyBorder="1" applyAlignment="1">
      <alignment horizontal="left" vertical="center" wrapText="1"/>
    </xf>
    <xf numFmtId="0" fontId="16" fillId="6" borderId="16" xfId="0" applyFont="1" applyFill="1" applyBorder="1" applyAlignment="1">
      <alignment wrapText="1"/>
    </xf>
    <xf numFmtId="0" fontId="16" fillId="6" borderId="17" xfId="0" applyFont="1" applyFill="1" applyBorder="1" applyAlignment="1">
      <alignment wrapText="1"/>
    </xf>
    <xf numFmtId="0" fontId="23" fillId="0" borderId="0" xfId="0" applyFont="1" applyAlignment="1">
      <alignment horizontal="center" vertical="center"/>
    </xf>
    <xf numFmtId="0" fontId="23" fillId="0" borderId="18" xfId="0" applyFont="1" applyBorder="1" applyAlignment="1">
      <alignment wrapText="1"/>
    </xf>
    <xf numFmtId="0" fontId="16" fillId="18" borderId="19" xfId="0" applyFont="1" applyFill="1" applyBorder="1" applyAlignment="1">
      <alignment wrapText="1"/>
    </xf>
    <xf numFmtId="0" fontId="16" fillId="19" borderId="19" xfId="0" applyFont="1" applyFill="1" applyBorder="1" applyAlignment="1">
      <alignment wrapText="1"/>
    </xf>
    <xf numFmtId="0" fontId="23" fillId="10" borderId="19" xfId="0" applyFont="1" applyFill="1" applyBorder="1" applyAlignment="1">
      <alignment wrapText="1"/>
    </xf>
    <xf numFmtId="0" fontId="16" fillId="6" borderId="19" xfId="0" applyFont="1" applyFill="1" applyBorder="1" applyAlignment="1">
      <alignment wrapText="1"/>
    </xf>
    <xf numFmtId="0" fontId="24" fillId="0" borderId="0" xfId="0" applyFont="1"/>
    <xf numFmtId="0" fontId="25" fillId="0" borderId="1" xfId="0" applyFont="1" applyBorder="1" applyAlignment="1">
      <alignment horizontal="center" vertical="center" wrapText="1"/>
    </xf>
    <xf numFmtId="0" fontId="17" fillId="0" borderId="3" xfId="0" applyFont="1" applyBorder="1" applyAlignment="1">
      <alignment horizontal="center" vertical="center" wrapText="1"/>
    </xf>
    <xf numFmtId="16" fontId="23" fillId="0" borderId="0" xfId="0" applyNumberFormat="1" applyFon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7" fillId="0" borderId="19" xfId="0" applyFont="1" applyBorder="1" applyAlignment="1">
      <alignment vertical="center" wrapText="1"/>
    </xf>
    <xf numFmtId="0" fontId="17" fillId="7" borderId="19" xfId="0" applyFont="1" applyFill="1" applyBorder="1" applyAlignment="1">
      <alignment vertical="center" wrapText="1"/>
    </xf>
    <xf numFmtId="0" fontId="17" fillId="0" borderId="18" xfId="0" applyFont="1" applyBorder="1" applyAlignment="1">
      <alignment vertical="center" wrapText="1"/>
    </xf>
    <xf numFmtId="0" fontId="17" fillId="7" borderId="18" xfId="0" applyFont="1" applyFill="1" applyBorder="1" applyAlignment="1">
      <alignment vertical="center" wrapText="1"/>
    </xf>
    <xf numFmtId="0" fontId="23" fillId="0" borderId="0" xfId="0" applyFont="1" applyAlignment="1">
      <alignment horizontal="center"/>
    </xf>
    <xf numFmtId="0" fontId="26" fillId="6" borderId="17" xfId="0" applyFont="1" applyFill="1" applyBorder="1" applyAlignment="1">
      <alignment horizontal="center" vertical="center" wrapText="1"/>
    </xf>
    <xf numFmtId="0" fontId="12" fillId="18" borderId="19" xfId="0" applyFont="1" applyFill="1" applyBorder="1" applyAlignment="1">
      <alignment horizontal="center" vertical="center" wrapText="1"/>
    </xf>
    <xf numFmtId="0" fontId="12" fillId="7" borderId="19" xfId="0" applyFont="1" applyFill="1" applyBorder="1" applyAlignment="1">
      <alignment horizontal="center" vertical="center" wrapText="1"/>
    </xf>
    <xf numFmtId="0" fontId="26" fillId="6" borderId="16" xfId="0" applyFont="1" applyFill="1" applyBorder="1" applyAlignment="1">
      <alignment horizontal="center" vertical="center" wrapText="1"/>
    </xf>
    <xf numFmtId="0" fontId="23" fillId="0" borderId="1" xfId="0" applyFont="1" applyBorder="1" applyAlignment="1">
      <alignment horizontal="center" wrapText="1"/>
    </xf>
    <xf numFmtId="0" fontId="1" fillId="0" borderId="1" xfId="1" applyFill="1" applyBorder="1" applyAlignment="1">
      <alignment horizontal="center" wrapText="1"/>
    </xf>
    <xf numFmtId="0" fontId="1" fillId="10" borderId="11" xfId="1" applyFill="1" applyBorder="1" applyAlignment="1">
      <alignment wrapText="1"/>
    </xf>
    <xf numFmtId="0" fontId="1" fillId="10" borderId="5" xfId="1" applyFill="1" applyBorder="1" applyAlignment="1">
      <alignment wrapText="1"/>
    </xf>
    <xf numFmtId="0" fontId="1" fillId="10" borderId="4" xfId="1" applyFill="1" applyBorder="1" applyAlignment="1">
      <alignment wrapText="1"/>
    </xf>
    <xf numFmtId="0" fontId="1" fillId="10" borderId="10" xfId="1" applyFill="1" applyBorder="1" applyAlignment="1">
      <alignment wrapText="1"/>
    </xf>
    <xf numFmtId="0" fontId="1" fillId="10" borderId="13" xfId="1" applyFill="1" applyBorder="1" applyAlignment="1">
      <alignment wrapText="1"/>
    </xf>
    <xf numFmtId="0" fontId="1" fillId="10" borderId="8" xfId="1" applyFill="1" applyBorder="1" applyAlignment="1">
      <alignment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9" xfId="0" applyFont="1" applyBorder="1" applyAlignment="1">
      <alignment horizontal="center" vertical="center" wrapText="1"/>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3" borderId="3" xfId="0"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8" xfId="0" applyFont="1" applyBorder="1" applyAlignment="1">
      <alignment horizontal="center" vertical="center" wrapText="1"/>
    </xf>
    <xf numFmtId="0" fontId="15" fillId="6" borderId="6" xfId="0" applyFont="1" applyFill="1" applyBorder="1" applyAlignment="1">
      <alignment horizontal="center" vertical="center" wrapText="1"/>
    </xf>
    <xf numFmtId="0" fontId="15" fillId="6" borderId="3" xfId="0" applyFont="1" applyFill="1" applyBorder="1" applyAlignment="1">
      <alignment horizontal="center" vertical="center" wrapText="1"/>
    </xf>
    <xf numFmtId="14" fontId="9" fillId="0" borderId="13" xfId="0" applyNumberFormat="1" applyFont="1" applyBorder="1" applyAlignment="1">
      <alignment horizontal="center" vertical="center" wrapText="1"/>
    </xf>
    <xf numFmtId="0" fontId="2" fillId="2" borderId="6" xfId="0" applyFont="1" applyFill="1" applyBorder="1" applyAlignment="1">
      <alignment horizontal="center" vertical="center" wrapText="1"/>
    </xf>
    <xf numFmtId="0" fontId="6" fillId="0" borderId="6" xfId="0" applyFont="1" applyBorder="1" applyAlignment="1">
      <alignment vertical="center" wrapText="1"/>
    </xf>
    <xf numFmtId="0" fontId="6" fillId="0" borderId="3" xfId="0" applyFont="1" applyBorder="1" applyAlignment="1">
      <alignment vertical="center" wrapText="1"/>
    </xf>
    <xf numFmtId="0" fontId="6" fillId="0" borderId="13" xfId="0" applyFont="1" applyBorder="1" applyAlignment="1">
      <alignment vertical="center" wrapText="1"/>
    </xf>
    <xf numFmtId="0" fontId="6" fillId="0" borderId="8" xfId="0" applyFont="1" applyBorder="1" applyAlignment="1">
      <alignment vertical="center" wrapText="1"/>
    </xf>
    <xf numFmtId="0" fontId="16" fillId="6" borderId="6" xfId="0" applyFont="1" applyFill="1" applyBorder="1" applyAlignment="1">
      <alignment vertical="center" wrapText="1"/>
    </xf>
    <xf numFmtId="0" fontId="16" fillId="6" borderId="3" xfId="0" applyFont="1" applyFill="1" applyBorder="1" applyAlignment="1">
      <alignment vertical="center" wrapText="1"/>
    </xf>
    <xf numFmtId="14" fontId="6" fillId="0" borderId="13" xfId="0" applyNumberFormat="1" applyFont="1" applyBorder="1" applyAlignment="1">
      <alignment vertical="center" wrapText="1"/>
    </xf>
    <xf numFmtId="0" fontId="9" fillId="6" borderId="1" xfId="0" applyFont="1" applyFill="1" applyBorder="1" applyAlignment="1">
      <alignment wrapText="1"/>
    </xf>
    <xf numFmtId="0" fontId="9" fillId="0" borderId="10" xfId="0" applyFont="1" applyBorder="1" applyAlignment="1">
      <alignment horizontal="center" wrapText="1"/>
    </xf>
    <xf numFmtId="0" fontId="9" fillId="0" borderId="13" xfId="0" applyFont="1" applyBorder="1" applyAlignment="1">
      <alignment horizontal="center" wrapText="1"/>
    </xf>
    <xf numFmtId="0" fontId="9" fillId="0" borderId="8" xfId="0" applyFont="1" applyBorder="1" applyAlignment="1">
      <alignment horizontal="center" wrapText="1"/>
    </xf>
    <xf numFmtId="0" fontId="5" fillId="9" borderId="1" xfId="0" applyFont="1" applyFill="1" applyBorder="1" applyAlignment="1">
      <alignment horizontal="center" vertical="center" wrapText="1"/>
    </xf>
    <xf numFmtId="0" fontId="9" fillId="6" borderId="2" xfId="0" applyFont="1" applyFill="1" applyBorder="1" applyAlignment="1">
      <alignment wrapText="1"/>
    </xf>
    <xf numFmtId="0" fontId="9" fillId="0" borderId="11" xfId="0" applyFont="1" applyBorder="1" applyAlignment="1">
      <alignment horizontal="center" wrapText="1"/>
    </xf>
    <xf numFmtId="0" fontId="9" fillId="0" borderId="5" xfId="0" applyFont="1" applyBorder="1" applyAlignment="1">
      <alignment horizontal="center" wrapText="1"/>
    </xf>
    <xf numFmtId="0" fontId="9" fillId="0" borderId="4" xfId="0" applyFont="1" applyBorder="1" applyAlignment="1">
      <alignment horizontal="center" wrapText="1"/>
    </xf>
    <xf numFmtId="14" fontId="9" fillId="0" borderId="10" xfId="0" applyNumberFormat="1" applyFont="1" applyBorder="1" applyAlignment="1">
      <alignment wrapText="1"/>
    </xf>
    <xf numFmtId="0" fontId="9" fillId="0" borderId="13" xfId="0" applyFont="1" applyBorder="1" applyAlignment="1">
      <alignment wrapText="1"/>
    </xf>
    <xf numFmtId="0" fontId="9" fillId="0" borderId="8" xfId="0" applyFont="1" applyBorder="1" applyAlignment="1">
      <alignment wrapText="1"/>
    </xf>
    <xf numFmtId="0" fontId="9" fillId="10" borderId="14" xfId="0" applyFont="1" applyFill="1" applyBorder="1" applyAlignment="1">
      <alignment wrapText="1"/>
    </xf>
    <xf numFmtId="0" fontId="9" fillId="10" borderId="15" xfId="0" applyFont="1" applyFill="1" applyBorder="1" applyAlignment="1">
      <alignment wrapText="1"/>
    </xf>
    <xf numFmtId="0" fontId="9" fillId="10" borderId="9" xfId="0" applyFont="1" applyFill="1" applyBorder="1" applyAlignment="1">
      <alignment wrapText="1"/>
    </xf>
    <xf numFmtId="0" fontId="9" fillId="10" borderId="10" xfId="0" applyFont="1" applyFill="1" applyBorder="1" applyAlignment="1">
      <alignment wrapText="1"/>
    </xf>
    <xf numFmtId="0" fontId="9" fillId="10" borderId="13" xfId="0" applyFont="1" applyFill="1" applyBorder="1" applyAlignment="1">
      <alignment wrapText="1"/>
    </xf>
    <xf numFmtId="0" fontId="9" fillId="10" borderId="8" xfId="0" applyFont="1" applyFill="1" applyBorder="1" applyAlignment="1">
      <alignment wrapText="1"/>
    </xf>
    <xf numFmtId="0" fontId="9" fillId="6" borderId="2" xfId="0" applyFont="1" applyFill="1" applyBorder="1" applyAlignment="1">
      <alignment wrapText="1"/>
    </xf>
    <xf numFmtId="0" fontId="9" fillId="6" borderId="6" xfId="0" applyFont="1" applyFill="1" applyBorder="1" applyAlignment="1">
      <alignment wrapText="1"/>
    </xf>
    <xf numFmtId="0" fontId="2" fillId="0" borderId="8" xfId="0" applyFont="1" applyBorder="1" applyAlignment="1">
      <alignment horizontal="center" vertical="center" wrapText="1"/>
    </xf>
    <xf numFmtId="0" fontId="5" fillId="7" borderId="0" xfId="0" applyFont="1" applyFill="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8"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17" fillId="0" borderId="2" xfId="0" applyFont="1" applyBorder="1" applyAlignment="1">
      <alignment horizontal="center" vertical="center" wrapText="1"/>
    </xf>
    <xf numFmtId="0" fontId="17" fillId="0" borderId="1" xfId="0" quotePrefix="1" applyFont="1" applyBorder="1" applyAlignment="1">
      <alignment vertical="center" wrapText="1"/>
    </xf>
    <xf numFmtId="0" fontId="17" fillId="0" borderId="3" xfId="0" applyFont="1" applyBorder="1" applyAlignment="1">
      <alignment horizontal="center" vertical="center" wrapText="1"/>
    </xf>
    <xf numFmtId="0" fontId="17" fillId="0" borderId="6" xfId="0" applyFont="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0" fontId="2" fillId="0" borderId="9" xfId="0" applyFont="1" applyBorder="1" applyAlignment="1">
      <alignment horizontal="left" vertical="center" wrapText="1"/>
    </xf>
  </cellXfs>
  <cellStyles count="2">
    <cellStyle name="Hyperlink" xfId="1" xr:uid="{00000000-000B-0000-0000-000008000000}"/>
    <cellStyle name="Normal" xfId="0" builtinId="0"/>
  </cellStyles>
  <dxfs count="25">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theme="1"/>
      </font>
      <fill>
        <patternFill patternType="solid">
          <bgColor theme="9" tint="-0.249977111117893"/>
        </patternFill>
      </fill>
    </dxf>
    <dxf>
      <font>
        <color theme="1"/>
      </font>
      <fill>
        <patternFill patternType="solid">
          <bgColor rgb="FFFF0000"/>
        </patternFill>
      </fill>
    </dxf>
    <dxf>
      <font>
        <color theme="1"/>
      </font>
      <fill>
        <patternFill patternType="solid">
          <bgColor theme="9" tint="-0.249977111117893"/>
        </patternFill>
      </fill>
    </dxf>
    <dxf>
      <font>
        <color theme="1"/>
      </font>
      <fill>
        <patternFill patternType="solid">
          <bgColor rgb="FFFF00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ill>
        <patternFill patternType="solid">
          <bgColor rgb="FFFF0000"/>
        </patternFill>
      </fill>
    </dxf>
    <dxf>
      <fill>
        <patternFill patternType="solid">
          <bgColor theme="9" tint="-0.249977111117893"/>
        </patternFill>
      </fill>
    </dxf>
    <dxf>
      <fill>
        <patternFill patternType="solid">
          <bgColor rgb="FFFF00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xdr:row>
      <xdr:rowOff>0</xdr:rowOff>
    </xdr:from>
    <xdr:to>
      <xdr:col>13</xdr:col>
      <xdr:colOff>104775</xdr:colOff>
      <xdr:row>2</xdr:row>
      <xdr:rowOff>19050</xdr:rowOff>
    </xdr:to>
    <xdr:pic>
      <xdr:nvPicPr>
        <xdr:cNvPr id="3" name="Ảnh 1">
          <a:extLst>
            <a:ext uri="{FF2B5EF4-FFF2-40B4-BE49-F238E27FC236}">
              <a16:creationId xmlns:a16="http://schemas.microsoft.com/office/drawing/2014/main" id="{043083E5-603E-E0F7-2B38-4224D9DA5A40}"/>
            </a:ext>
          </a:extLst>
        </xdr:cNvPr>
        <xdr:cNvPicPr>
          <a:picLocks noChangeAspect="1"/>
        </xdr:cNvPicPr>
      </xdr:nvPicPr>
      <xdr:blipFill>
        <a:blip xmlns:r="http://schemas.openxmlformats.org/officeDocument/2006/relationships" r:embed="rId1"/>
        <a:stretch>
          <a:fillRect/>
        </a:stretch>
      </xdr:blipFill>
      <xdr:spPr>
        <a:xfrm>
          <a:off x="19507200" y="428625"/>
          <a:ext cx="1323975"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figma.com/design/K28cNHKzebkL6egcCCx7V9/Wireframes?node-id=8502-5790&amp;t=5S5lygNqwcVmAPta-0" TargetMode="External"/><Relationship Id="rId1" Type="http://schemas.openxmlformats.org/officeDocument/2006/relationships/hyperlink" Target="../../Forms/AllItems.aspx?id=%2Fsites%2FSmartPole%2FShared%20Documents%2FGeneral%2F3%5FTesting&amp;viewid=bd6ecf16%2Dd434%2D4481%2D9519%2D43b3d359c08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w:/r/sites/SmartPole/_layouts/15/Doc.aspx?sourcedoc=%7B3A801663-8B40-4199-94CE-A69F0EA3793F%7D&amp;file=PSD_Smart%20Pole_V0.1.0.doc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3FE6-14A7-40E0-95B5-9B1B61D13040}">
  <dimension ref="A1:L101"/>
  <sheetViews>
    <sheetView workbookViewId="0">
      <selection activeCell="A11" sqref="A11:A21"/>
    </sheetView>
  </sheetViews>
  <sheetFormatPr defaultColWidth="8.85546875" defaultRowHeight="15"/>
  <cols>
    <col min="1" max="1" width="25.7109375" customWidth="1"/>
    <col min="2" max="2" width="21.140625" customWidth="1"/>
    <col min="3" max="3" width="21.140625" style="40" customWidth="1"/>
    <col min="4" max="4" width="30.7109375" style="40" customWidth="1"/>
    <col min="5" max="5" width="27.140625" style="40" customWidth="1"/>
    <col min="6" max="6" width="37" style="40" customWidth="1"/>
    <col min="7" max="7" width="53.85546875" style="40" customWidth="1"/>
    <col min="8" max="8" width="41.7109375" style="46" customWidth="1"/>
    <col min="9" max="9" width="25.140625" style="40" customWidth="1"/>
    <col min="10" max="10" width="23.7109375" customWidth="1"/>
    <col min="11" max="11" width="28" customWidth="1"/>
    <col min="12" max="12" width="12.28515625" customWidth="1"/>
  </cols>
  <sheetData>
    <row r="1" spans="1:12" ht="15" customHeight="1">
      <c r="A1" s="211" t="s">
        <v>0</v>
      </c>
      <c r="B1" s="212" t="s">
        <v>1</v>
      </c>
      <c r="C1" s="213"/>
      <c r="D1" s="214"/>
      <c r="E1" s="42"/>
      <c r="F1" s="42"/>
      <c r="G1" s="42"/>
      <c r="H1" s="115" t="s">
        <v>2</v>
      </c>
      <c r="I1" s="215" t="s">
        <v>3</v>
      </c>
      <c r="J1" s="115" t="s">
        <v>4</v>
      </c>
      <c r="K1" s="115" t="s">
        <v>5</v>
      </c>
    </row>
    <row r="2" spans="1:12" ht="15" customHeight="1">
      <c r="A2" s="216" t="s">
        <v>6</v>
      </c>
      <c r="B2" s="173" t="s">
        <v>7</v>
      </c>
      <c r="C2" s="174"/>
      <c r="D2" s="175"/>
      <c r="E2" s="42"/>
      <c r="F2" s="42"/>
      <c r="G2" s="42"/>
      <c r="H2" s="116" t="s">
        <v>8</v>
      </c>
      <c r="I2" s="117" t="s">
        <v>9</v>
      </c>
      <c r="J2" s="118" t="s">
        <v>10</v>
      </c>
      <c r="K2" s="118" t="s">
        <v>11</v>
      </c>
    </row>
    <row r="3" spans="1:12" ht="15" customHeight="1">
      <c r="A3" s="211" t="s">
        <v>12</v>
      </c>
      <c r="B3" s="176" t="s">
        <v>13</v>
      </c>
      <c r="C3" s="177"/>
      <c r="D3" s="178"/>
      <c r="E3" s="42"/>
      <c r="F3" s="42"/>
      <c r="G3" s="42"/>
      <c r="H3" s="43"/>
      <c r="I3" s="42"/>
      <c r="J3" s="38"/>
      <c r="K3" s="38"/>
    </row>
    <row r="4" spans="1:12" ht="15" customHeight="1">
      <c r="A4" s="211" t="s">
        <v>14</v>
      </c>
      <c r="B4" s="217" t="s">
        <v>15</v>
      </c>
      <c r="C4" s="218"/>
      <c r="D4" s="219"/>
      <c r="E4" s="42"/>
      <c r="F4" s="42"/>
      <c r="G4" s="42"/>
      <c r="H4" s="43"/>
      <c r="I4" s="42"/>
      <c r="J4" s="38"/>
      <c r="K4" s="38"/>
    </row>
    <row r="5" spans="1:12" ht="15" customHeight="1">
      <c r="A5" s="211" t="s">
        <v>16</v>
      </c>
      <c r="B5" s="220">
        <v>45668</v>
      </c>
      <c r="C5" s="221"/>
      <c r="D5" s="222"/>
      <c r="E5" s="42"/>
      <c r="F5" s="42"/>
      <c r="G5" s="42"/>
      <c r="H5" s="43"/>
      <c r="I5" s="42"/>
      <c r="J5" s="38"/>
      <c r="K5" s="38"/>
    </row>
    <row r="6" spans="1:12" ht="15" customHeight="1">
      <c r="A6" s="211" t="s">
        <v>17</v>
      </c>
      <c r="B6" s="223" t="s">
        <v>18</v>
      </c>
      <c r="C6" s="224"/>
      <c r="D6" s="225"/>
      <c r="E6" s="42"/>
      <c r="F6" s="42"/>
      <c r="G6" s="42"/>
      <c r="H6" s="43"/>
      <c r="I6" s="42"/>
      <c r="J6" s="38"/>
      <c r="K6" s="38"/>
    </row>
    <row r="7" spans="1:12" ht="15" customHeight="1">
      <c r="A7" s="211" t="s">
        <v>19</v>
      </c>
      <c r="B7" s="226" t="s">
        <v>8</v>
      </c>
      <c r="C7" s="227"/>
      <c r="D7" s="228"/>
      <c r="E7" s="42"/>
      <c r="F7" s="42"/>
      <c r="G7" s="42"/>
      <c r="H7" s="43"/>
      <c r="I7" s="42"/>
      <c r="J7" s="38"/>
      <c r="K7" s="38"/>
    </row>
    <row r="8" spans="1:12" ht="36">
      <c r="A8" s="229" t="s">
        <v>20</v>
      </c>
      <c r="B8" s="27" t="s">
        <v>21</v>
      </c>
      <c r="C8" s="56" t="s">
        <v>22</v>
      </c>
      <c r="D8" s="57" t="s">
        <v>23</v>
      </c>
      <c r="E8" s="42"/>
      <c r="F8" s="42"/>
      <c r="G8" s="42"/>
      <c r="H8" s="43"/>
      <c r="I8" s="42"/>
      <c r="J8" s="38"/>
      <c r="K8" s="38"/>
    </row>
    <row r="9" spans="1:12" ht="17.100000000000001">
      <c r="A9" s="230"/>
      <c r="B9" s="25">
        <f>COUNTIF(J:J,"Pass")+COUNTIF(J:J,"Test Fail") +COUNTIF(J:J,"Open") + COUNTIF(J:J,"Pending") + COUNTIF(J:J,"Fixed")</f>
        <v>90</v>
      </c>
      <c r="C9" s="25">
        <v>0</v>
      </c>
      <c r="D9" s="25">
        <v>0</v>
      </c>
      <c r="E9" s="42"/>
      <c r="F9" s="42"/>
      <c r="G9" s="42"/>
      <c r="H9" s="43"/>
      <c r="I9" s="42"/>
      <c r="J9" s="38"/>
      <c r="K9" s="38"/>
    </row>
    <row r="10" spans="1:12" ht="54">
      <c r="A10" s="10" t="s">
        <v>24</v>
      </c>
      <c r="B10" s="50" t="s">
        <v>25</v>
      </c>
      <c r="C10" s="50" t="s">
        <v>26</v>
      </c>
      <c r="D10" s="50" t="s">
        <v>27</v>
      </c>
      <c r="E10" s="9" t="s">
        <v>28</v>
      </c>
      <c r="F10" s="10" t="s">
        <v>29</v>
      </c>
      <c r="G10" s="11" t="s">
        <v>30</v>
      </c>
      <c r="H10" s="13" t="s">
        <v>31</v>
      </c>
      <c r="I10" s="7" t="s">
        <v>32</v>
      </c>
      <c r="J10" s="8" t="s">
        <v>33</v>
      </c>
      <c r="K10" s="8" t="s">
        <v>34</v>
      </c>
      <c r="L10" s="12" t="s">
        <v>35</v>
      </c>
    </row>
    <row r="11" spans="1:12" ht="69" customHeight="1">
      <c r="A11" s="180" t="s">
        <v>36</v>
      </c>
      <c r="B11" s="179" t="s">
        <v>37</v>
      </c>
      <c r="C11" s="51" t="s">
        <v>38</v>
      </c>
      <c r="D11" s="44" t="s">
        <v>39</v>
      </c>
      <c r="E11" s="44" t="s">
        <v>40</v>
      </c>
      <c r="F11" s="44" t="s">
        <v>41</v>
      </c>
      <c r="G11" s="44" t="s">
        <v>42</v>
      </c>
      <c r="H11" s="47" t="s">
        <v>43</v>
      </c>
      <c r="I11" s="49" t="s">
        <v>44</v>
      </c>
      <c r="J11" s="231" t="s">
        <v>45</v>
      </c>
      <c r="K11" s="34" t="s">
        <v>43</v>
      </c>
      <c r="L11" s="19"/>
    </row>
    <row r="12" spans="1:12" ht="69" customHeight="1">
      <c r="A12" s="181"/>
      <c r="B12" s="179"/>
      <c r="C12" s="51" t="s">
        <v>46</v>
      </c>
      <c r="D12" s="45" t="s">
        <v>47</v>
      </c>
      <c r="E12" s="45" t="s">
        <v>48</v>
      </c>
      <c r="F12" s="45" t="s">
        <v>49</v>
      </c>
      <c r="G12" s="45" t="s">
        <v>50</v>
      </c>
      <c r="H12" s="48" t="s">
        <v>43</v>
      </c>
      <c r="I12" s="49" t="s">
        <v>51</v>
      </c>
      <c r="J12" s="231" t="s">
        <v>45</v>
      </c>
      <c r="K12" s="35" t="s">
        <v>43</v>
      </c>
      <c r="L12" s="19"/>
    </row>
    <row r="13" spans="1:12" ht="69" customHeight="1">
      <c r="A13" s="181"/>
      <c r="B13" s="179"/>
      <c r="C13" s="51" t="s">
        <v>52</v>
      </c>
      <c r="D13" s="45" t="s">
        <v>53</v>
      </c>
      <c r="E13" s="45" t="s">
        <v>48</v>
      </c>
      <c r="F13" s="45" t="s">
        <v>54</v>
      </c>
      <c r="G13" s="45" t="s">
        <v>55</v>
      </c>
      <c r="H13" s="48" t="s">
        <v>43</v>
      </c>
      <c r="I13" s="49" t="s">
        <v>56</v>
      </c>
      <c r="J13" s="231" t="s">
        <v>45</v>
      </c>
      <c r="K13" s="35" t="s">
        <v>43</v>
      </c>
      <c r="L13" s="19"/>
    </row>
    <row r="14" spans="1:12" ht="69" customHeight="1">
      <c r="A14" s="181"/>
      <c r="B14" s="179"/>
      <c r="C14" s="51" t="s">
        <v>57</v>
      </c>
      <c r="D14" s="45" t="s">
        <v>58</v>
      </c>
      <c r="E14" s="45" t="s">
        <v>59</v>
      </c>
      <c r="F14" s="45" t="s">
        <v>60</v>
      </c>
      <c r="G14" s="45" t="s">
        <v>61</v>
      </c>
      <c r="H14" s="48" t="s">
        <v>43</v>
      </c>
      <c r="I14" s="49" t="s">
        <v>44</v>
      </c>
      <c r="J14" s="231" t="s">
        <v>45</v>
      </c>
      <c r="K14" s="35" t="s">
        <v>43</v>
      </c>
      <c r="L14" s="19"/>
    </row>
    <row r="15" spans="1:12" ht="69" customHeight="1">
      <c r="A15" s="181"/>
      <c r="B15" s="179"/>
      <c r="C15" s="51" t="s">
        <v>62</v>
      </c>
      <c r="D15" s="45" t="s">
        <v>63</v>
      </c>
      <c r="E15" s="45" t="s">
        <v>59</v>
      </c>
      <c r="F15" s="45" t="s">
        <v>64</v>
      </c>
      <c r="G15" s="45" t="s">
        <v>65</v>
      </c>
      <c r="H15" s="48" t="s">
        <v>43</v>
      </c>
      <c r="I15" s="49" t="s">
        <v>51</v>
      </c>
      <c r="J15" s="231" t="s">
        <v>45</v>
      </c>
      <c r="K15" s="35" t="s">
        <v>43</v>
      </c>
      <c r="L15" s="19"/>
    </row>
    <row r="16" spans="1:12" ht="69" customHeight="1">
      <c r="A16" s="181"/>
      <c r="B16" s="179"/>
      <c r="C16" s="51" t="s">
        <v>66</v>
      </c>
      <c r="D16" s="45" t="s">
        <v>67</v>
      </c>
      <c r="E16" s="45" t="s">
        <v>68</v>
      </c>
      <c r="F16" s="45" t="s">
        <v>69</v>
      </c>
      <c r="G16" s="45" t="s">
        <v>70</v>
      </c>
      <c r="H16" s="48" t="s">
        <v>43</v>
      </c>
      <c r="I16" s="49" t="s">
        <v>51</v>
      </c>
      <c r="J16" s="231" t="s">
        <v>45</v>
      </c>
      <c r="K16" s="35" t="s">
        <v>43</v>
      </c>
      <c r="L16" s="19"/>
    </row>
    <row r="17" spans="1:12" ht="69" customHeight="1">
      <c r="A17" s="181"/>
      <c r="B17" s="179"/>
      <c r="C17" s="51" t="s">
        <v>71</v>
      </c>
      <c r="D17" s="45" t="s">
        <v>72</v>
      </c>
      <c r="E17" s="45" t="s">
        <v>73</v>
      </c>
      <c r="F17" s="45" t="s">
        <v>74</v>
      </c>
      <c r="G17" s="45" t="s">
        <v>75</v>
      </c>
      <c r="H17" s="48" t="s">
        <v>43</v>
      </c>
      <c r="I17" s="49" t="s">
        <v>44</v>
      </c>
      <c r="J17" s="231" t="s">
        <v>45</v>
      </c>
      <c r="K17" s="35" t="s">
        <v>43</v>
      </c>
      <c r="L17" s="19"/>
    </row>
    <row r="18" spans="1:12" ht="42" customHeight="1">
      <c r="A18" s="181"/>
      <c r="B18" s="179"/>
      <c r="C18" s="51" t="s">
        <v>76</v>
      </c>
      <c r="D18" s="45" t="s">
        <v>77</v>
      </c>
      <c r="E18" s="45" t="s">
        <v>78</v>
      </c>
      <c r="F18" s="45" t="s">
        <v>79</v>
      </c>
      <c r="G18" s="45" t="s">
        <v>80</v>
      </c>
      <c r="H18" s="48" t="s">
        <v>43</v>
      </c>
      <c r="I18" s="49" t="s">
        <v>44</v>
      </c>
      <c r="J18" s="231" t="s">
        <v>45</v>
      </c>
      <c r="K18" s="35" t="s">
        <v>43</v>
      </c>
      <c r="L18" s="19"/>
    </row>
    <row r="19" spans="1:12" ht="67.5" customHeight="1">
      <c r="A19" s="181"/>
      <c r="B19" s="179"/>
      <c r="C19" s="51" t="s">
        <v>81</v>
      </c>
      <c r="D19" s="45" t="s">
        <v>82</v>
      </c>
      <c r="E19" s="45" t="s">
        <v>78</v>
      </c>
      <c r="F19" s="45" t="s">
        <v>83</v>
      </c>
      <c r="G19" s="45" t="s">
        <v>84</v>
      </c>
      <c r="H19" s="48" t="s">
        <v>43</v>
      </c>
      <c r="I19" s="49" t="s">
        <v>51</v>
      </c>
      <c r="J19" s="231" t="s">
        <v>45</v>
      </c>
      <c r="K19" s="35" t="s">
        <v>43</v>
      </c>
      <c r="L19" s="19"/>
    </row>
    <row r="20" spans="1:12" s="33" customFormat="1" ht="42.75" customHeight="1">
      <c r="A20" s="181"/>
      <c r="B20" s="179"/>
      <c r="C20" s="51" t="s">
        <v>85</v>
      </c>
      <c r="D20" s="45" t="s">
        <v>86</v>
      </c>
      <c r="E20" s="45" t="s">
        <v>78</v>
      </c>
      <c r="F20" s="45" t="s">
        <v>87</v>
      </c>
      <c r="G20" s="45" t="s">
        <v>88</v>
      </c>
      <c r="H20" s="48" t="s">
        <v>43</v>
      </c>
      <c r="I20" s="49" t="s">
        <v>89</v>
      </c>
      <c r="J20" s="231" t="s">
        <v>45</v>
      </c>
      <c r="K20" s="35" t="s">
        <v>43</v>
      </c>
      <c r="L20" s="19"/>
    </row>
    <row r="21" spans="1:12" ht="59.25" customHeight="1">
      <c r="A21" s="181"/>
      <c r="B21" s="179"/>
      <c r="C21" s="51" t="s">
        <v>90</v>
      </c>
      <c r="D21" s="45" t="s">
        <v>91</v>
      </c>
      <c r="E21" s="45" t="s">
        <v>48</v>
      </c>
      <c r="F21" s="45" t="s">
        <v>92</v>
      </c>
      <c r="G21" s="45" t="s">
        <v>93</v>
      </c>
      <c r="H21" s="48" t="s">
        <v>43</v>
      </c>
      <c r="I21" s="49" t="s">
        <v>44</v>
      </c>
      <c r="J21" s="231" t="s">
        <v>45</v>
      </c>
      <c r="K21" s="35" t="s">
        <v>43</v>
      </c>
      <c r="L21" s="19"/>
    </row>
    <row r="22" spans="1:12" ht="30.75" customHeight="1">
      <c r="A22" s="181" t="s">
        <v>94</v>
      </c>
      <c r="B22" s="181" t="s">
        <v>95</v>
      </c>
      <c r="C22" s="51" t="s">
        <v>96</v>
      </c>
      <c r="D22" s="45" t="s">
        <v>97</v>
      </c>
      <c r="E22" s="45" t="s">
        <v>48</v>
      </c>
      <c r="F22" s="45" t="s">
        <v>98</v>
      </c>
      <c r="G22" s="45" t="s">
        <v>99</v>
      </c>
      <c r="H22" s="48" t="s">
        <v>43</v>
      </c>
      <c r="I22" s="49" t="s">
        <v>44</v>
      </c>
      <c r="J22" s="231" t="s">
        <v>45</v>
      </c>
      <c r="K22" s="35" t="s">
        <v>43</v>
      </c>
      <c r="L22" s="19"/>
    </row>
    <row r="23" spans="1:12" ht="45.75" customHeight="1">
      <c r="A23" s="181"/>
      <c r="B23" s="181"/>
      <c r="C23" s="51" t="s">
        <v>100</v>
      </c>
      <c r="D23" s="45" t="s">
        <v>101</v>
      </c>
      <c r="E23" s="45" t="s">
        <v>48</v>
      </c>
      <c r="F23" s="45" t="s">
        <v>102</v>
      </c>
      <c r="G23" s="45" t="s">
        <v>103</v>
      </c>
      <c r="H23" s="48" t="s">
        <v>43</v>
      </c>
      <c r="I23" s="49" t="s">
        <v>44</v>
      </c>
      <c r="J23" s="231" t="s">
        <v>45</v>
      </c>
      <c r="K23" s="35" t="s">
        <v>43</v>
      </c>
      <c r="L23" s="19"/>
    </row>
    <row r="24" spans="1:12" ht="30.75" customHeight="1">
      <c r="A24" s="181"/>
      <c r="B24" s="181"/>
      <c r="C24" s="51" t="s">
        <v>104</v>
      </c>
      <c r="D24" s="45" t="s">
        <v>105</v>
      </c>
      <c r="E24" s="45" t="s">
        <v>48</v>
      </c>
      <c r="F24" s="45" t="s">
        <v>106</v>
      </c>
      <c r="G24" s="45" t="s">
        <v>107</v>
      </c>
      <c r="H24" s="48" t="s">
        <v>43</v>
      </c>
      <c r="I24" s="49" t="s">
        <v>108</v>
      </c>
      <c r="J24" s="231" t="s">
        <v>45</v>
      </c>
      <c r="K24" s="35" t="s">
        <v>43</v>
      </c>
      <c r="L24" s="19"/>
    </row>
    <row r="25" spans="1:12" ht="51" customHeight="1">
      <c r="A25" s="181"/>
      <c r="B25" s="181"/>
      <c r="C25" s="51" t="s">
        <v>109</v>
      </c>
      <c r="D25" s="45" t="s">
        <v>110</v>
      </c>
      <c r="E25" s="45" t="s">
        <v>48</v>
      </c>
      <c r="F25" s="45" t="s">
        <v>111</v>
      </c>
      <c r="G25" s="45" t="s">
        <v>112</v>
      </c>
      <c r="H25" s="48" t="s">
        <v>43</v>
      </c>
      <c r="I25" s="49" t="s">
        <v>108</v>
      </c>
      <c r="J25" s="231" t="s">
        <v>45</v>
      </c>
      <c r="K25" s="35" t="s">
        <v>43</v>
      </c>
      <c r="L25" s="19"/>
    </row>
    <row r="26" spans="1:12" ht="30" customHeight="1">
      <c r="A26" s="181"/>
      <c r="B26" s="181"/>
      <c r="C26" s="51" t="s">
        <v>113</v>
      </c>
      <c r="D26" s="45" t="s">
        <v>114</v>
      </c>
      <c r="E26" s="45" t="s">
        <v>48</v>
      </c>
      <c r="F26" s="45" t="s">
        <v>115</v>
      </c>
      <c r="G26" s="45" t="s">
        <v>116</v>
      </c>
      <c r="H26" s="48" t="s">
        <v>43</v>
      </c>
      <c r="I26" s="49" t="s">
        <v>108</v>
      </c>
      <c r="J26" s="231" t="s">
        <v>45</v>
      </c>
      <c r="K26" s="35" t="s">
        <v>43</v>
      </c>
      <c r="L26" s="19"/>
    </row>
    <row r="27" spans="1:12" ht="28.5" customHeight="1">
      <c r="A27" s="181"/>
      <c r="B27" s="181"/>
      <c r="C27" s="51" t="s">
        <v>117</v>
      </c>
      <c r="D27" s="45" t="s">
        <v>118</v>
      </c>
      <c r="E27" s="45" t="s">
        <v>48</v>
      </c>
      <c r="F27" s="45" t="s">
        <v>119</v>
      </c>
      <c r="G27" s="45" t="s">
        <v>120</v>
      </c>
      <c r="H27" s="48" t="s">
        <v>43</v>
      </c>
      <c r="I27" s="49" t="s">
        <v>108</v>
      </c>
      <c r="J27" s="231" t="s">
        <v>45</v>
      </c>
      <c r="K27" s="35" t="s">
        <v>43</v>
      </c>
      <c r="L27" s="19"/>
    </row>
    <row r="28" spans="1:12" ht="36" customHeight="1">
      <c r="A28" s="181"/>
      <c r="B28" s="181"/>
      <c r="C28" s="51" t="s">
        <v>121</v>
      </c>
      <c r="D28" s="45" t="s">
        <v>122</v>
      </c>
      <c r="E28" s="45" t="s">
        <v>48</v>
      </c>
      <c r="F28" s="45" t="s">
        <v>123</v>
      </c>
      <c r="G28" s="45" t="s">
        <v>124</v>
      </c>
      <c r="H28" s="48" t="s">
        <v>43</v>
      </c>
      <c r="I28" s="49" t="s">
        <v>108</v>
      </c>
      <c r="J28" s="231" t="s">
        <v>45</v>
      </c>
      <c r="K28" s="35" t="s">
        <v>43</v>
      </c>
      <c r="L28" s="19"/>
    </row>
    <row r="29" spans="1:12" ht="36" customHeight="1">
      <c r="A29" s="181"/>
      <c r="B29" s="181"/>
      <c r="C29" s="51" t="s">
        <v>125</v>
      </c>
      <c r="D29" s="45" t="s">
        <v>126</v>
      </c>
      <c r="E29" s="45" t="s">
        <v>48</v>
      </c>
      <c r="F29" s="45" t="s">
        <v>127</v>
      </c>
      <c r="G29" s="45" t="s">
        <v>128</v>
      </c>
      <c r="H29" s="48" t="s">
        <v>43</v>
      </c>
      <c r="I29" s="49" t="s">
        <v>108</v>
      </c>
      <c r="J29" s="231" t="s">
        <v>45</v>
      </c>
      <c r="K29" s="35" t="s">
        <v>43</v>
      </c>
      <c r="L29" s="19"/>
    </row>
    <row r="30" spans="1:12" ht="36" customHeight="1">
      <c r="A30" s="181"/>
      <c r="B30" s="181"/>
      <c r="C30" s="51" t="s">
        <v>129</v>
      </c>
      <c r="D30" s="45" t="s">
        <v>130</v>
      </c>
      <c r="E30" s="45" t="s">
        <v>48</v>
      </c>
      <c r="F30" s="45" t="s">
        <v>131</v>
      </c>
      <c r="G30" s="45" t="s">
        <v>132</v>
      </c>
      <c r="H30" s="48" t="s">
        <v>43</v>
      </c>
      <c r="I30" s="49" t="s">
        <v>108</v>
      </c>
      <c r="J30" s="231" t="s">
        <v>45</v>
      </c>
      <c r="K30" s="35" t="s">
        <v>43</v>
      </c>
      <c r="L30" s="19"/>
    </row>
    <row r="31" spans="1:12" ht="30.75" customHeight="1">
      <c r="A31" s="181"/>
      <c r="B31" s="181"/>
      <c r="C31" s="51" t="s">
        <v>133</v>
      </c>
      <c r="D31" s="45" t="s">
        <v>134</v>
      </c>
      <c r="E31" s="45" t="s">
        <v>48</v>
      </c>
      <c r="F31" s="45" t="s">
        <v>135</v>
      </c>
      <c r="G31" s="45" t="s">
        <v>136</v>
      </c>
      <c r="H31" s="48" t="s">
        <v>43</v>
      </c>
      <c r="I31" s="49" t="s">
        <v>108</v>
      </c>
      <c r="J31" s="231" t="s">
        <v>45</v>
      </c>
      <c r="K31" s="35" t="s">
        <v>43</v>
      </c>
      <c r="L31" s="19"/>
    </row>
    <row r="32" spans="1:12" ht="45.75" customHeight="1">
      <c r="A32" s="181"/>
      <c r="B32" s="181"/>
      <c r="C32" s="51" t="s">
        <v>137</v>
      </c>
      <c r="D32" s="45" t="s">
        <v>138</v>
      </c>
      <c r="E32" s="45" t="s">
        <v>48</v>
      </c>
      <c r="F32" s="45" t="s">
        <v>139</v>
      </c>
      <c r="G32" s="45" t="s">
        <v>140</v>
      </c>
      <c r="H32" s="48" t="s">
        <v>43</v>
      </c>
      <c r="I32" s="49" t="s">
        <v>108</v>
      </c>
      <c r="J32" s="231" t="s">
        <v>45</v>
      </c>
      <c r="K32" s="35" t="s">
        <v>43</v>
      </c>
      <c r="L32" s="19"/>
    </row>
    <row r="33" spans="1:12" ht="30" customHeight="1">
      <c r="A33" s="181"/>
      <c r="B33" s="181"/>
      <c r="C33" s="51" t="s">
        <v>141</v>
      </c>
      <c r="D33" s="45" t="s">
        <v>142</v>
      </c>
      <c r="E33" s="45" t="s">
        <v>48</v>
      </c>
      <c r="F33" s="45" t="s">
        <v>143</v>
      </c>
      <c r="G33" s="45" t="s">
        <v>144</v>
      </c>
      <c r="H33" s="48" t="s">
        <v>43</v>
      </c>
      <c r="I33" s="49" t="s">
        <v>108</v>
      </c>
      <c r="J33" s="231" t="s">
        <v>45</v>
      </c>
      <c r="K33" s="35" t="s">
        <v>43</v>
      </c>
      <c r="L33" s="19"/>
    </row>
    <row r="34" spans="1:12" ht="45" customHeight="1">
      <c r="A34" s="181"/>
      <c r="B34" s="181"/>
      <c r="C34" s="51" t="s">
        <v>145</v>
      </c>
      <c r="D34" s="45" t="s">
        <v>146</v>
      </c>
      <c r="E34" s="45" t="s">
        <v>48</v>
      </c>
      <c r="F34" s="45" t="s">
        <v>147</v>
      </c>
      <c r="G34" s="45" t="s">
        <v>148</v>
      </c>
      <c r="H34" s="48" t="s">
        <v>43</v>
      </c>
      <c r="I34" s="49" t="s">
        <v>108</v>
      </c>
      <c r="J34" s="231" t="s">
        <v>45</v>
      </c>
      <c r="K34" s="35" t="s">
        <v>43</v>
      </c>
      <c r="L34" s="19"/>
    </row>
    <row r="35" spans="1:12" ht="30.75" customHeight="1">
      <c r="A35" s="181"/>
      <c r="B35" s="181"/>
      <c r="C35" s="51" t="s">
        <v>149</v>
      </c>
      <c r="D35" s="45" t="s">
        <v>150</v>
      </c>
      <c r="E35" s="45" t="s">
        <v>48</v>
      </c>
      <c r="F35" s="45" t="s">
        <v>151</v>
      </c>
      <c r="G35" s="45" t="s">
        <v>152</v>
      </c>
      <c r="H35" s="48" t="s">
        <v>43</v>
      </c>
      <c r="I35" s="49" t="s">
        <v>51</v>
      </c>
      <c r="J35" s="231" t="s">
        <v>45</v>
      </c>
      <c r="K35" s="35" t="s">
        <v>43</v>
      </c>
      <c r="L35" s="19"/>
    </row>
    <row r="36" spans="1:12" ht="55.5" customHeight="1">
      <c r="A36" s="181"/>
      <c r="B36" s="181"/>
      <c r="C36" s="51" t="s">
        <v>153</v>
      </c>
      <c r="D36" s="45" t="s">
        <v>154</v>
      </c>
      <c r="E36" s="45" t="s">
        <v>48</v>
      </c>
      <c r="F36" s="45" t="s">
        <v>155</v>
      </c>
      <c r="G36" s="45" t="s">
        <v>156</v>
      </c>
      <c r="H36" s="48" t="s">
        <v>43</v>
      </c>
      <c r="I36" s="49" t="s">
        <v>157</v>
      </c>
      <c r="J36" s="231" t="s">
        <v>45</v>
      </c>
      <c r="K36" s="35" t="s">
        <v>43</v>
      </c>
      <c r="L36" s="19"/>
    </row>
    <row r="37" spans="1:12" ht="72" customHeight="1">
      <c r="A37" s="181" t="s">
        <v>158</v>
      </c>
      <c r="B37" s="180" t="s">
        <v>159</v>
      </c>
      <c r="C37" s="51" t="s">
        <v>160</v>
      </c>
      <c r="D37" s="53" t="s">
        <v>161</v>
      </c>
      <c r="E37" s="53" t="s">
        <v>48</v>
      </c>
      <c r="F37" s="45" t="s">
        <v>162</v>
      </c>
      <c r="G37" s="45" t="s">
        <v>163</v>
      </c>
      <c r="H37" s="48" t="s">
        <v>43</v>
      </c>
      <c r="I37" s="49" t="s">
        <v>44</v>
      </c>
      <c r="J37" s="231" t="s">
        <v>45</v>
      </c>
      <c r="K37" s="35" t="s">
        <v>43</v>
      </c>
      <c r="L37" s="19"/>
    </row>
    <row r="38" spans="1:12" ht="60.75" customHeight="1">
      <c r="A38" s="181"/>
      <c r="B38" s="181"/>
      <c r="C38" s="55" t="s">
        <v>164</v>
      </c>
      <c r="D38" s="54" t="s">
        <v>165</v>
      </c>
      <c r="E38" s="54" t="s">
        <v>48</v>
      </c>
      <c r="F38" s="45" t="s">
        <v>166</v>
      </c>
      <c r="G38" s="45" t="s">
        <v>167</v>
      </c>
      <c r="H38" s="48" t="s">
        <v>43</v>
      </c>
      <c r="I38" s="49" t="s">
        <v>51</v>
      </c>
      <c r="J38" s="231" t="s">
        <v>168</v>
      </c>
      <c r="K38" s="35" t="s">
        <v>43</v>
      </c>
      <c r="L38" s="19"/>
    </row>
    <row r="39" spans="1:12" ht="60.75" customHeight="1">
      <c r="A39" s="181"/>
      <c r="B39" s="181"/>
      <c r="C39" s="55" t="s">
        <v>169</v>
      </c>
      <c r="D39" s="54" t="s">
        <v>170</v>
      </c>
      <c r="E39" s="54" t="s">
        <v>48</v>
      </c>
      <c r="F39" s="45" t="s">
        <v>171</v>
      </c>
      <c r="G39" s="45" t="s">
        <v>172</v>
      </c>
      <c r="H39" s="48" t="s">
        <v>43</v>
      </c>
      <c r="I39" s="49" t="s">
        <v>56</v>
      </c>
      <c r="J39" s="231" t="s">
        <v>173</v>
      </c>
      <c r="K39" s="35" t="s">
        <v>43</v>
      </c>
      <c r="L39" s="19"/>
    </row>
    <row r="40" spans="1:12" ht="105.75" customHeight="1">
      <c r="A40" s="181"/>
      <c r="B40" s="181"/>
      <c r="C40" s="55" t="s">
        <v>174</v>
      </c>
      <c r="D40" s="54" t="s">
        <v>175</v>
      </c>
      <c r="E40" s="54" t="s">
        <v>48</v>
      </c>
      <c r="F40" s="45" t="s">
        <v>176</v>
      </c>
      <c r="G40" s="45" t="s">
        <v>177</v>
      </c>
      <c r="H40" s="48" t="s">
        <v>43</v>
      </c>
      <c r="I40" s="49" t="s">
        <v>178</v>
      </c>
      <c r="J40" s="231" t="s">
        <v>173</v>
      </c>
      <c r="K40" s="35" t="s">
        <v>43</v>
      </c>
      <c r="L40" s="19"/>
    </row>
    <row r="41" spans="1:12" ht="60.75" customHeight="1">
      <c r="A41" s="181"/>
      <c r="B41" s="181"/>
      <c r="C41" s="55" t="s">
        <v>179</v>
      </c>
      <c r="D41" s="54" t="s">
        <v>180</v>
      </c>
      <c r="E41" s="54" t="s">
        <v>48</v>
      </c>
      <c r="F41" s="45" t="s">
        <v>181</v>
      </c>
      <c r="G41" s="45" t="s">
        <v>182</v>
      </c>
      <c r="H41" s="48" t="s">
        <v>43</v>
      </c>
      <c r="I41" s="49" t="s">
        <v>51</v>
      </c>
      <c r="J41" s="231" t="s">
        <v>173</v>
      </c>
      <c r="K41" s="35" t="s">
        <v>43</v>
      </c>
      <c r="L41" s="19"/>
    </row>
    <row r="42" spans="1:12" ht="117" customHeight="1">
      <c r="A42" s="181"/>
      <c r="B42" s="181"/>
      <c r="C42" s="55" t="s">
        <v>183</v>
      </c>
      <c r="D42" s="54" t="s">
        <v>184</v>
      </c>
      <c r="E42" s="54" t="s">
        <v>48</v>
      </c>
      <c r="F42" s="45" t="s">
        <v>185</v>
      </c>
      <c r="G42" s="45" t="s">
        <v>186</v>
      </c>
      <c r="H42" s="48" t="s">
        <v>43</v>
      </c>
      <c r="I42" s="49" t="s">
        <v>51</v>
      </c>
      <c r="J42" s="231" t="s">
        <v>173</v>
      </c>
      <c r="K42" s="35" t="s">
        <v>187</v>
      </c>
      <c r="L42" s="19"/>
    </row>
    <row r="43" spans="1:12" ht="60.75" customHeight="1">
      <c r="A43" s="181"/>
      <c r="B43" s="181"/>
      <c r="C43" s="55" t="s">
        <v>188</v>
      </c>
      <c r="D43" s="54" t="s">
        <v>189</v>
      </c>
      <c r="E43" s="54" t="s">
        <v>48</v>
      </c>
      <c r="F43" s="45" t="s">
        <v>190</v>
      </c>
      <c r="G43" s="45" t="s">
        <v>191</v>
      </c>
      <c r="H43" s="48" t="s">
        <v>43</v>
      </c>
      <c r="I43" s="49" t="s">
        <v>51</v>
      </c>
      <c r="J43" s="231" t="s">
        <v>173</v>
      </c>
      <c r="K43" s="35" t="s">
        <v>43</v>
      </c>
      <c r="L43" s="19"/>
    </row>
    <row r="44" spans="1:12" ht="60.75" customHeight="1">
      <c r="A44" s="181"/>
      <c r="B44" s="181"/>
      <c r="C44" s="55" t="s">
        <v>192</v>
      </c>
      <c r="D44" s="54" t="s">
        <v>193</v>
      </c>
      <c r="E44" s="54" t="s">
        <v>48</v>
      </c>
      <c r="F44" s="45" t="s">
        <v>194</v>
      </c>
      <c r="G44" s="45" t="s">
        <v>195</v>
      </c>
      <c r="H44" s="48" t="s">
        <v>43</v>
      </c>
      <c r="I44" s="49" t="s">
        <v>51</v>
      </c>
      <c r="J44" s="231" t="s">
        <v>173</v>
      </c>
      <c r="K44" s="35" t="s">
        <v>43</v>
      </c>
      <c r="L44" s="19"/>
    </row>
    <row r="45" spans="1:12" ht="114" customHeight="1">
      <c r="A45" s="181"/>
      <c r="B45" s="181"/>
      <c r="C45" s="55" t="s">
        <v>196</v>
      </c>
      <c r="D45" s="54" t="s">
        <v>197</v>
      </c>
      <c r="E45" s="54" t="s">
        <v>48</v>
      </c>
      <c r="F45" s="45" t="s">
        <v>198</v>
      </c>
      <c r="G45" s="45" t="s">
        <v>199</v>
      </c>
      <c r="H45" s="48" t="s">
        <v>43</v>
      </c>
      <c r="I45" s="49" t="s">
        <v>51</v>
      </c>
      <c r="J45" s="231" t="s">
        <v>173</v>
      </c>
      <c r="K45" s="35" t="s">
        <v>43</v>
      </c>
      <c r="L45" s="29"/>
    </row>
    <row r="46" spans="1:12" ht="60.75" customHeight="1">
      <c r="A46" s="181"/>
      <c r="B46" s="181"/>
      <c r="C46" s="55" t="s">
        <v>200</v>
      </c>
      <c r="D46" s="54" t="s">
        <v>201</v>
      </c>
      <c r="E46" s="54" t="s">
        <v>48</v>
      </c>
      <c r="F46" s="45" t="s">
        <v>202</v>
      </c>
      <c r="G46" s="45" t="s">
        <v>203</v>
      </c>
      <c r="H46" s="48" t="s">
        <v>43</v>
      </c>
      <c r="I46" s="49" t="s">
        <v>51</v>
      </c>
      <c r="J46" s="231" t="s">
        <v>173</v>
      </c>
      <c r="K46" s="35" t="s">
        <v>43</v>
      </c>
      <c r="L46" s="29"/>
    </row>
    <row r="47" spans="1:12" ht="87.75" customHeight="1">
      <c r="A47" s="181"/>
      <c r="B47" s="181"/>
      <c r="C47" s="55" t="s">
        <v>204</v>
      </c>
      <c r="D47" s="54" t="s">
        <v>205</v>
      </c>
      <c r="E47" s="54" t="s">
        <v>48</v>
      </c>
      <c r="F47" s="45" t="s">
        <v>206</v>
      </c>
      <c r="G47" s="45" t="s">
        <v>207</v>
      </c>
      <c r="H47" s="48" t="s">
        <v>43</v>
      </c>
      <c r="I47" s="49" t="s">
        <v>51</v>
      </c>
      <c r="J47" s="231" t="s">
        <v>173</v>
      </c>
      <c r="K47" s="35" t="s">
        <v>43</v>
      </c>
      <c r="L47" s="29"/>
    </row>
    <row r="48" spans="1:12" ht="78" customHeight="1">
      <c r="A48" s="181"/>
      <c r="B48" s="181"/>
      <c r="C48" s="55" t="s">
        <v>208</v>
      </c>
      <c r="D48" s="54" t="s">
        <v>209</v>
      </c>
      <c r="E48" s="54" t="s">
        <v>48</v>
      </c>
      <c r="F48" s="45" t="s">
        <v>210</v>
      </c>
      <c r="G48" s="45" t="s">
        <v>211</v>
      </c>
      <c r="H48" s="48" t="s">
        <v>43</v>
      </c>
      <c r="I48" s="49" t="s">
        <v>51</v>
      </c>
      <c r="J48" s="231" t="s">
        <v>173</v>
      </c>
      <c r="K48" s="35" t="s">
        <v>43</v>
      </c>
      <c r="L48" s="29"/>
    </row>
    <row r="49" spans="1:12" ht="50.25" customHeight="1">
      <c r="A49" s="181"/>
      <c r="B49" s="181"/>
      <c r="C49" s="55" t="s">
        <v>212</v>
      </c>
      <c r="D49" s="54" t="s">
        <v>213</v>
      </c>
      <c r="E49" s="54" t="s">
        <v>48</v>
      </c>
      <c r="F49" s="45" t="s">
        <v>214</v>
      </c>
      <c r="G49" s="45" t="s">
        <v>215</v>
      </c>
      <c r="H49" s="48"/>
      <c r="I49" s="49" t="s">
        <v>51</v>
      </c>
      <c r="J49" s="231" t="s">
        <v>173</v>
      </c>
      <c r="K49" s="35"/>
      <c r="L49" s="29"/>
    </row>
    <row r="50" spans="1:12" ht="65.25" customHeight="1">
      <c r="A50" s="181"/>
      <c r="B50" s="181"/>
      <c r="C50" s="55" t="s">
        <v>216</v>
      </c>
      <c r="D50" s="54" t="s">
        <v>217</v>
      </c>
      <c r="E50" s="54" t="s">
        <v>48</v>
      </c>
      <c r="F50" s="45" t="s">
        <v>218</v>
      </c>
      <c r="G50" s="45" t="s">
        <v>219</v>
      </c>
      <c r="H50" s="48"/>
      <c r="I50" s="49" t="s">
        <v>51</v>
      </c>
      <c r="J50" s="231" t="s">
        <v>173</v>
      </c>
      <c r="K50" s="35"/>
      <c r="L50" s="29"/>
    </row>
    <row r="51" spans="1:12" ht="44.25" customHeight="1">
      <c r="A51" s="181" t="s">
        <v>220</v>
      </c>
      <c r="B51" s="181" t="s">
        <v>221</v>
      </c>
      <c r="C51" s="55" t="s">
        <v>222</v>
      </c>
      <c r="D51" s="54" t="s">
        <v>223</v>
      </c>
      <c r="E51" s="54" t="s">
        <v>224</v>
      </c>
      <c r="F51" s="45" t="s">
        <v>225</v>
      </c>
      <c r="G51" s="45" t="s">
        <v>226</v>
      </c>
      <c r="H51" s="48" t="s">
        <v>43</v>
      </c>
      <c r="I51" s="49" t="s">
        <v>51</v>
      </c>
      <c r="J51" s="231" t="s">
        <v>173</v>
      </c>
      <c r="K51" s="35" t="s">
        <v>43</v>
      </c>
      <c r="L51" s="29"/>
    </row>
    <row r="52" spans="1:12" ht="45.75" customHeight="1">
      <c r="A52" s="181"/>
      <c r="B52" s="181"/>
      <c r="C52" s="55" t="s">
        <v>227</v>
      </c>
      <c r="D52" s="54" t="s">
        <v>228</v>
      </c>
      <c r="E52" s="54" t="s">
        <v>224</v>
      </c>
      <c r="F52" s="45" t="s">
        <v>229</v>
      </c>
      <c r="G52" s="45" t="s">
        <v>230</v>
      </c>
      <c r="H52" s="48" t="s">
        <v>43</v>
      </c>
      <c r="I52" s="49" t="s">
        <v>51</v>
      </c>
      <c r="J52" s="231" t="s">
        <v>173</v>
      </c>
      <c r="K52" s="35" t="s">
        <v>43</v>
      </c>
      <c r="L52" s="29"/>
    </row>
    <row r="53" spans="1:12" ht="54" customHeight="1">
      <c r="A53" s="181"/>
      <c r="B53" s="181"/>
      <c r="C53" s="55" t="s">
        <v>231</v>
      </c>
      <c r="D53" s="54" t="s">
        <v>232</v>
      </c>
      <c r="E53" s="54" t="s">
        <v>224</v>
      </c>
      <c r="F53" s="45" t="s">
        <v>233</v>
      </c>
      <c r="G53" s="45" t="s">
        <v>234</v>
      </c>
      <c r="H53" s="48" t="s">
        <v>43</v>
      </c>
      <c r="I53" s="49" t="s">
        <v>51</v>
      </c>
      <c r="J53" s="231" t="s">
        <v>173</v>
      </c>
      <c r="K53" s="35" t="s">
        <v>43</v>
      </c>
      <c r="L53" s="29"/>
    </row>
    <row r="54" spans="1:12" ht="45.75" customHeight="1">
      <c r="A54" s="181"/>
      <c r="B54" s="181"/>
      <c r="C54" s="51" t="s">
        <v>235</v>
      </c>
      <c r="D54" s="45" t="s">
        <v>236</v>
      </c>
      <c r="E54" s="45" t="s">
        <v>237</v>
      </c>
      <c r="F54" s="45" t="s">
        <v>238</v>
      </c>
      <c r="G54" s="45" t="s">
        <v>239</v>
      </c>
      <c r="H54" s="48" t="s">
        <v>43</v>
      </c>
      <c r="I54" s="49" t="s">
        <v>56</v>
      </c>
      <c r="J54" s="231" t="s">
        <v>173</v>
      </c>
      <c r="K54" s="35" t="s">
        <v>43</v>
      </c>
      <c r="L54" s="29"/>
    </row>
    <row r="55" spans="1:12" ht="81.75" customHeight="1">
      <c r="A55" s="181"/>
      <c r="B55" s="181"/>
      <c r="C55" s="51" t="s">
        <v>240</v>
      </c>
      <c r="D55" s="45" t="s">
        <v>241</v>
      </c>
      <c r="E55" s="45" t="s">
        <v>242</v>
      </c>
      <c r="F55" s="45" t="s">
        <v>243</v>
      </c>
      <c r="G55" s="53" t="s">
        <v>244</v>
      </c>
      <c r="H55" s="48" t="s">
        <v>43</v>
      </c>
      <c r="I55" s="49" t="s">
        <v>108</v>
      </c>
      <c r="J55" s="231" t="s">
        <v>173</v>
      </c>
      <c r="K55" s="35"/>
      <c r="L55" s="29"/>
    </row>
    <row r="56" spans="1:12" ht="102.75" customHeight="1">
      <c r="A56" s="181"/>
      <c r="B56" s="181"/>
      <c r="C56" s="51" t="s">
        <v>245</v>
      </c>
      <c r="D56" s="45" t="s">
        <v>246</v>
      </c>
      <c r="E56" s="45" t="s">
        <v>247</v>
      </c>
      <c r="F56" s="52" t="s">
        <v>248</v>
      </c>
      <c r="G56" s="41" t="s">
        <v>249</v>
      </c>
      <c r="H56" s="48"/>
      <c r="I56" s="49" t="s">
        <v>108</v>
      </c>
      <c r="J56" s="231" t="s">
        <v>173</v>
      </c>
      <c r="K56" s="35"/>
    </row>
    <row r="57" spans="1:12" ht="103.5" customHeight="1">
      <c r="A57" s="181"/>
      <c r="B57" s="181"/>
      <c r="C57" s="51" t="s">
        <v>250</v>
      </c>
      <c r="D57" s="45" t="s">
        <v>251</v>
      </c>
      <c r="E57" s="45" t="s">
        <v>252</v>
      </c>
      <c r="F57" s="45" t="s">
        <v>253</v>
      </c>
      <c r="G57" s="45" t="s">
        <v>254</v>
      </c>
      <c r="H57" s="48"/>
      <c r="I57" s="49" t="s">
        <v>51</v>
      </c>
      <c r="J57" s="231" t="s">
        <v>173</v>
      </c>
      <c r="K57" s="35"/>
    </row>
    <row r="58" spans="1:12" ht="69" customHeight="1">
      <c r="A58" s="181"/>
      <c r="B58" s="181"/>
      <c r="C58" s="51" t="s">
        <v>255</v>
      </c>
      <c r="D58" s="45" t="s">
        <v>256</v>
      </c>
      <c r="E58" s="45" t="s">
        <v>242</v>
      </c>
      <c r="F58" s="45" t="s">
        <v>257</v>
      </c>
      <c r="G58" s="45" t="s">
        <v>258</v>
      </c>
      <c r="H58" s="48"/>
      <c r="I58" s="49" t="s">
        <v>51</v>
      </c>
      <c r="J58" s="231" t="s">
        <v>173</v>
      </c>
      <c r="K58" s="35"/>
    </row>
    <row r="59" spans="1:12" ht="69" customHeight="1">
      <c r="A59" s="181"/>
      <c r="B59" s="181"/>
      <c r="C59" s="51" t="s">
        <v>259</v>
      </c>
      <c r="D59" s="45" t="s">
        <v>260</v>
      </c>
      <c r="E59" s="45" t="s">
        <v>242</v>
      </c>
      <c r="F59" s="45" t="s">
        <v>261</v>
      </c>
      <c r="G59" s="45" t="s">
        <v>262</v>
      </c>
      <c r="H59" s="48"/>
      <c r="I59" s="49" t="s">
        <v>51</v>
      </c>
      <c r="J59" s="231" t="s">
        <v>173</v>
      </c>
      <c r="K59" s="35"/>
    </row>
    <row r="60" spans="1:12" ht="69" customHeight="1">
      <c r="A60" s="181"/>
      <c r="B60" s="181"/>
      <c r="C60" s="51" t="s">
        <v>263</v>
      </c>
      <c r="D60" s="45" t="s">
        <v>264</v>
      </c>
      <c r="E60" s="45" t="s">
        <v>242</v>
      </c>
      <c r="F60" s="45" t="s">
        <v>257</v>
      </c>
      <c r="G60" s="45" t="s">
        <v>265</v>
      </c>
      <c r="H60" s="48"/>
      <c r="I60" s="49" t="s">
        <v>44</v>
      </c>
      <c r="J60" s="231" t="s">
        <v>173</v>
      </c>
      <c r="K60" s="35"/>
    </row>
    <row r="61" spans="1:12" ht="87.75" customHeight="1">
      <c r="A61" s="181"/>
      <c r="B61" s="181"/>
      <c r="C61" s="51" t="s">
        <v>266</v>
      </c>
      <c r="D61" s="45" t="s">
        <v>267</v>
      </c>
      <c r="E61" s="45" t="s">
        <v>242</v>
      </c>
      <c r="F61" s="45" t="s">
        <v>268</v>
      </c>
      <c r="G61" s="45" t="s">
        <v>269</v>
      </c>
      <c r="H61" s="48"/>
      <c r="I61" s="49" t="s">
        <v>108</v>
      </c>
      <c r="J61" s="231" t="s">
        <v>173</v>
      </c>
      <c r="K61" s="35"/>
    </row>
    <row r="62" spans="1:12" ht="69" customHeight="1">
      <c r="A62" s="181"/>
      <c r="B62" s="181"/>
      <c r="C62" s="51" t="s">
        <v>270</v>
      </c>
      <c r="D62" s="45" t="s">
        <v>271</v>
      </c>
      <c r="E62" s="45" t="s">
        <v>242</v>
      </c>
      <c r="F62" s="45" t="s">
        <v>272</v>
      </c>
      <c r="G62" s="45" t="s">
        <v>273</v>
      </c>
      <c r="H62" s="48"/>
      <c r="I62" s="49" t="s">
        <v>51</v>
      </c>
      <c r="J62" s="231" t="s">
        <v>173</v>
      </c>
      <c r="K62" s="35"/>
    </row>
    <row r="63" spans="1:12" ht="69" customHeight="1">
      <c r="A63" s="181"/>
      <c r="B63" s="181"/>
      <c r="C63" s="51" t="s">
        <v>274</v>
      </c>
      <c r="D63" s="45" t="s">
        <v>275</v>
      </c>
      <c r="E63" s="45" t="s">
        <v>242</v>
      </c>
      <c r="F63" s="45" t="s">
        <v>276</v>
      </c>
      <c r="G63" s="45" t="s">
        <v>277</v>
      </c>
      <c r="H63" s="48"/>
      <c r="I63" s="49" t="s">
        <v>51</v>
      </c>
      <c r="J63" s="231" t="s">
        <v>173</v>
      </c>
      <c r="K63" s="35"/>
    </row>
    <row r="64" spans="1:12" ht="69" customHeight="1">
      <c r="A64" s="181"/>
      <c r="B64" s="181"/>
      <c r="C64" s="51" t="s">
        <v>278</v>
      </c>
      <c r="D64" s="45" t="s">
        <v>279</v>
      </c>
      <c r="E64" s="45" t="s">
        <v>242</v>
      </c>
      <c r="F64" s="45" t="s">
        <v>280</v>
      </c>
      <c r="G64" s="45" t="s">
        <v>281</v>
      </c>
      <c r="H64" s="48"/>
      <c r="I64" s="49" t="s">
        <v>108</v>
      </c>
      <c r="J64" s="231" t="s">
        <v>173</v>
      </c>
      <c r="K64" s="35"/>
    </row>
    <row r="65" spans="1:11" ht="69" customHeight="1">
      <c r="A65" s="181"/>
      <c r="B65" s="181"/>
      <c r="C65" s="51" t="s">
        <v>282</v>
      </c>
      <c r="D65" s="45" t="s">
        <v>283</v>
      </c>
      <c r="E65" s="45" t="s">
        <v>242</v>
      </c>
      <c r="F65" s="45" t="s">
        <v>284</v>
      </c>
      <c r="G65" s="45" t="s">
        <v>285</v>
      </c>
      <c r="H65" s="48"/>
      <c r="I65" s="49" t="s">
        <v>51</v>
      </c>
      <c r="J65" s="231" t="s">
        <v>173</v>
      </c>
      <c r="K65" s="35"/>
    </row>
    <row r="66" spans="1:11" ht="78.75" customHeight="1">
      <c r="A66" s="181"/>
      <c r="B66" s="181"/>
      <c r="C66" s="51" t="s">
        <v>286</v>
      </c>
      <c r="D66" s="45" t="s">
        <v>287</v>
      </c>
      <c r="E66" s="45" t="s">
        <v>242</v>
      </c>
      <c r="F66" s="45" t="s">
        <v>288</v>
      </c>
      <c r="G66" s="45" t="s">
        <v>289</v>
      </c>
      <c r="H66" s="48"/>
      <c r="I66" s="49" t="s">
        <v>290</v>
      </c>
      <c r="J66" s="231" t="s">
        <v>173</v>
      </c>
      <c r="K66" s="35"/>
    </row>
    <row r="67" spans="1:11" ht="78.75" customHeight="1">
      <c r="A67" s="181"/>
      <c r="B67" s="181"/>
      <c r="C67" s="51" t="s">
        <v>291</v>
      </c>
      <c r="D67" s="45" t="s">
        <v>292</v>
      </c>
      <c r="E67" s="45" t="s">
        <v>242</v>
      </c>
      <c r="F67" s="45" t="s">
        <v>293</v>
      </c>
      <c r="G67" s="45" t="s">
        <v>294</v>
      </c>
      <c r="H67" s="48"/>
      <c r="I67" s="49" t="s">
        <v>51</v>
      </c>
      <c r="J67" s="231" t="s">
        <v>173</v>
      </c>
      <c r="K67" s="35"/>
    </row>
    <row r="68" spans="1:11" ht="69" customHeight="1">
      <c r="A68" s="181"/>
      <c r="B68" s="181"/>
      <c r="C68" s="51" t="s">
        <v>295</v>
      </c>
      <c r="D68" s="45" t="s">
        <v>296</v>
      </c>
      <c r="E68" s="45" t="s">
        <v>297</v>
      </c>
      <c r="F68" s="45" t="s">
        <v>298</v>
      </c>
      <c r="G68" s="45" t="s">
        <v>299</v>
      </c>
      <c r="H68" s="48"/>
      <c r="I68" s="49" t="s">
        <v>51</v>
      </c>
      <c r="J68" s="231" t="s">
        <v>173</v>
      </c>
      <c r="K68" s="35"/>
    </row>
    <row r="69" spans="1:11" ht="78.75" customHeight="1">
      <c r="A69" s="181"/>
      <c r="B69" s="181"/>
      <c r="C69" s="51" t="s">
        <v>300</v>
      </c>
      <c r="D69" s="45" t="s">
        <v>301</v>
      </c>
      <c r="E69" s="45" t="s">
        <v>242</v>
      </c>
      <c r="F69" s="45" t="s">
        <v>302</v>
      </c>
      <c r="G69" s="45" t="s">
        <v>303</v>
      </c>
      <c r="H69" s="48"/>
      <c r="I69" s="49" t="s">
        <v>44</v>
      </c>
      <c r="J69" s="231" t="s">
        <v>173</v>
      </c>
      <c r="K69" s="35"/>
    </row>
    <row r="70" spans="1:11" ht="45">
      <c r="A70" s="181" t="s">
        <v>304</v>
      </c>
      <c r="B70" s="180" t="s">
        <v>305</v>
      </c>
      <c r="C70" s="51" t="s">
        <v>306</v>
      </c>
      <c r="D70" s="45" t="s">
        <v>307</v>
      </c>
      <c r="E70" s="45" t="s">
        <v>308</v>
      </c>
      <c r="F70" s="45" t="s">
        <v>309</v>
      </c>
      <c r="G70" s="45" t="s">
        <v>310</v>
      </c>
      <c r="H70" s="48" t="s">
        <v>43</v>
      </c>
      <c r="I70" s="49" t="s">
        <v>51</v>
      </c>
      <c r="J70" s="231" t="s">
        <v>173</v>
      </c>
      <c r="K70" s="35" t="s">
        <v>311</v>
      </c>
    </row>
    <row r="71" spans="1:11" ht="30">
      <c r="A71" s="181"/>
      <c r="B71" s="181"/>
      <c r="C71" s="51" t="s">
        <v>312</v>
      </c>
      <c r="D71" s="45" t="s">
        <v>313</v>
      </c>
      <c r="E71" s="45" t="s">
        <v>308</v>
      </c>
      <c r="F71" s="45" t="s">
        <v>309</v>
      </c>
      <c r="G71" s="45" t="s">
        <v>314</v>
      </c>
      <c r="H71" s="48" t="s">
        <v>43</v>
      </c>
      <c r="I71" s="49" t="s">
        <v>51</v>
      </c>
      <c r="J71" s="231" t="s">
        <v>173</v>
      </c>
      <c r="K71" s="35" t="s">
        <v>43</v>
      </c>
    </row>
    <row r="72" spans="1:11" ht="66" customHeight="1">
      <c r="A72" s="181"/>
      <c r="B72" s="181"/>
      <c r="C72" s="51" t="s">
        <v>315</v>
      </c>
      <c r="D72" s="45" t="s">
        <v>316</v>
      </c>
      <c r="E72" s="45" t="s">
        <v>308</v>
      </c>
      <c r="F72" s="45" t="s">
        <v>309</v>
      </c>
      <c r="G72" s="45" t="s">
        <v>317</v>
      </c>
      <c r="H72" s="48" t="s">
        <v>43</v>
      </c>
      <c r="I72" s="49" t="s">
        <v>44</v>
      </c>
      <c r="J72" s="231" t="s">
        <v>173</v>
      </c>
      <c r="K72" s="35" t="s">
        <v>43</v>
      </c>
    </row>
    <row r="73" spans="1:11" ht="45">
      <c r="A73" s="181"/>
      <c r="B73" s="181"/>
      <c r="C73" s="51" t="s">
        <v>318</v>
      </c>
      <c r="D73" s="45" t="s">
        <v>319</v>
      </c>
      <c r="E73" s="45" t="s">
        <v>308</v>
      </c>
      <c r="F73" s="45" t="s">
        <v>309</v>
      </c>
      <c r="G73" s="45" t="s">
        <v>320</v>
      </c>
      <c r="H73" s="48" t="s">
        <v>43</v>
      </c>
      <c r="I73" s="49" t="s">
        <v>44</v>
      </c>
      <c r="J73" s="231" t="s">
        <v>173</v>
      </c>
      <c r="K73" s="35" t="s">
        <v>43</v>
      </c>
    </row>
    <row r="74" spans="1:11" ht="60">
      <c r="A74" s="181"/>
      <c r="B74" s="181"/>
      <c r="C74" s="51" t="s">
        <v>321</v>
      </c>
      <c r="D74" s="45" t="s">
        <v>322</v>
      </c>
      <c r="E74" s="45" t="s">
        <v>308</v>
      </c>
      <c r="F74" s="45" t="s">
        <v>309</v>
      </c>
      <c r="G74" s="45" t="s">
        <v>323</v>
      </c>
      <c r="H74" s="48" t="s">
        <v>43</v>
      </c>
      <c r="I74" s="49" t="s">
        <v>44</v>
      </c>
      <c r="J74" s="231" t="s">
        <v>173</v>
      </c>
      <c r="K74" s="35" t="s">
        <v>43</v>
      </c>
    </row>
    <row r="75" spans="1:11" ht="45">
      <c r="A75" s="181"/>
      <c r="B75" s="181"/>
      <c r="C75" s="51" t="s">
        <v>324</v>
      </c>
      <c r="D75" s="45" t="s">
        <v>325</v>
      </c>
      <c r="E75" s="45" t="s">
        <v>308</v>
      </c>
      <c r="F75" s="45" t="s">
        <v>326</v>
      </c>
      <c r="G75" s="45" t="s">
        <v>327</v>
      </c>
      <c r="H75" s="48" t="s">
        <v>43</v>
      </c>
      <c r="I75" s="49" t="s">
        <v>51</v>
      </c>
      <c r="J75" s="231" t="s">
        <v>173</v>
      </c>
      <c r="K75" s="35" t="s">
        <v>43</v>
      </c>
    </row>
    <row r="76" spans="1:11" ht="45">
      <c r="A76" s="181"/>
      <c r="B76" s="181"/>
      <c r="C76" s="51" t="s">
        <v>328</v>
      </c>
      <c r="D76" s="45" t="s">
        <v>329</v>
      </c>
      <c r="E76" s="45" t="s">
        <v>308</v>
      </c>
      <c r="F76" s="45" t="s">
        <v>326</v>
      </c>
      <c r="G76" s="45" t="s">
        <v>330</v>
      </c>
      <c r="H76" s="48" t="s">
        <v>43</v>
      </c>
      <c r="I76" s="49" t="s">
        <v>51</v>
      </c>
      <c r="J76" s="231" t="s">
        <v>173</v>
      </c>
      <c r="K76" s="35" t="s">
        <v>43</v>
      </c>
    </row>
    <row r="77" spans="1:11" ht="45">
      <c r="A77" s="181"/>
      <c r="B77" s="181"/>
      <c r="C77" s="51" t="s">
        <v>331</v>
      </c>
      <c r="D77" s="45" t="s">
        <v>332</v>
      </c>
      <c r="E77" s="45" t="s">
        <v>308</v>
      </c>
      <c r="F77" s="45" t="s">
        <v>333</v>
      </c>
      <c r="G77" s="45" t="s">
        <v>334</v>
      </c>
      <c r="H77" s="48" t="s">
        <v>43</v>
      </c>
      <c r="I77" s="49" t="s">
        <v>51</v>
      </c>
      <c r="J77" s="231" t="s">
        <v>173</v>
      </c>
      <c r="K77" s="35" t="s">
        <v>43</v>
      </c>
    </row>
    <row r="78" spans="1:11" ht="60">
      <c r="A78" s="181"/>
      <c r="B78" s="181"/>
      <c r="C78" s="51" t="s">
        <v>335</v>
      </c>
      <c r="D78" s="45" t="s">
        <v>336</v>
      </c>
      <c r="E78" s="45" t="s">
        <v>308</v>
      </c>
      <c r="F78" s="45" t="s">
        <v>337</v>
      </c>
      <c r="G78" s="45" t="s">
        <v>338</v>
      </c>
      <c r="H78" s="48" t="s">
        <v>43</v>
      </c>
      <c r="I78" s="49" t="s">
        <v>51</v>
      </c>
      <c r="J78" s="231" t="s">
        <v>173</v>
      </c>
      <c r="K78" s="35" t="s">
        <v>43</v>
      </c>
    </row>
    <row r="79" spans="1:11" ht="60">
      <c r="A79" s="181"/>
      <c r="B79" s="181"/>
      <c r="C79" s="51" t="s">
        <v>339</v>
      </c>
      <c r="D79" s="45" t="s">
        <v>340</v>
      </c>
      <c r="E79" s="45" t="s">
        <v>308</v>
      </c>
      <c r="F79" s="45" t="s">
        <v>341</v>
      </c>
      <c r="G79" s="45" t="s">
        <v>342</v>
      </c>
      <c r="H79" s="48"/>
      <c r="I79" s="49" t="s">
        <v>51</v>
      </c>
      <c r="J79" s="231" t="s">
        <v>173</v>
      </c>
      <c r="K79" s="35"/>
    </row>
    <row r="80" spans="1:11" ht="30">
      <c r="A80" s="181"/>
      <c r="B80" s="182"/>
      <c r="C80" s="51" t="s">
        <v>343</v>
      </c>
      <c r="D80" s="45" t="s">
        <v>344</v>
      </c>
      <c r="E80" s="45" t="s">
        <v>308</v>
      </c>
      <c r="F80" s="45" t="s">
        <v>309</v>
      </c>
      <c r="G80" s="45" t="s">
        <v>345</v>
      </c>
      <c r="H80" s="48" t="s">
        <v>43</v>
      </c>
      <c r="I80" s="49" t="s">
        <v>56</v>
      </c>
      <c r="J80" s="231" t="s">
        <v>173</v>
      </c>
      <c r="K80" s="35" t="s">
        <v>43</v>
      </c>
    </row>
    <row r="81" spans="1:11" ht="45.75" customHeight="1">
      <c r="A81" s="181" t="s">
        <v>346</v>
      </c>
      <c r="B81" s="180" t="s">
        <v>347</v>
      </c>
      <c r="C81" s="51" t="s">
        <v>348</v>
      </c>
      <c r="D81" s="45" t="s">
        <v>349</v>
      </c>
      <c r="E81" s="45" t="s">
        <v>350</v>
      </c>
      <c r="F81" s="45" t="s">
        <v>351</v>
      </c>
      <c r="G81" s="45" t="s">
        <v>352</v>
      </c>
      <c r="H81" s="48" t="s">
        <v>43</v>
      </c>
      <c r="I81" s="49" t="s">
        <v>44</v>
      </c>
      <c r="J81" s="231" t="s">
        <v>173</v>
      </c>
      <c r="K81" s="35"/>
    </row>
    <row r="82" spans="1:11" ht="60">
      <c r="A82" s="181"/>
      <c r="B82" s="181"/>
      <c r="C82" s="51" t="s">
        <v>353</v>
      </c>
      <c r="D82" s="45" t="s">
        <v>354</v>
      </c>
      <c r="E82" s="45" t="s">
        <v>350</v>
      </c>
      <c r="F82" s="45" t="s">
        <v>355</v>
      </c>
      <c r="G82" s="45" t="s">
        <v>356</v>
      </c>
      <c r="H82" s="48" t="s">
        <v>43</v>
      </c>
      <c r="I82" s="49" t="s">
        <v>44</v>
      </c>
      <c r="J82" s="231" t="s">
        <v>173</v>
      </c>
      <c r="K82" s="35" t="s">
        <v>43</v>
      </c>
    </row>
    <row r="83" spans="1:11" ht="90">
      <c r="A83" s="181"/>
      <c r="B83" s="181"/>
      <c r="C83" s="51" t="s">
        <v>357</v>
      </c>
      <c r="D83" s="45" t="s">
        <v>358</v>
      </c>
      <c r="E83" s="45" t="s">
        <v>350</v>
      </c>
      <c r="F83" s="45" t="s">
        <v>359</v>
      </c>
      <c r="G83" s="45" t="s">
        <v>360</v>
      </c>
      <c r="H83" s="48" t="s">
        <v>43</v>
      </c>
      <c r="I83" s="49" t="s">
        <v>108</v>
      </c>
      <c r="J83" s="231" t="s">
        <v>173</v>
      </c>
      <c r="K83" s="35" t="s">
        <v>43</v>
      </c>
    </row>
    <row r="84" spans="1:11" ht="45">
      <c r="A84" s="181"/>
      <c r="B84" s="181"/>
      <c r="C84" s="51" t="s">
        <v>361</v>
      </c>
      <c r="D84" s="45" t="s">
        <v>362</v>
      </c>
      <c r="E84" s="45" t="s">
        <v>350</v>
      </c>
      <c r="F84" s="45" t="s">
        <v>363</v>
      </c>
      <c r="G84" s="45" t="s">
        <v>364</v>
      </c>
      <c r="H84" s="48" t="s">
        <v>43</v>
      </c>
      <c r="I84" s="49" t="s">
        <v>51</v>
      </c>
      <c r="J84" s="231" t="s">
        <v>173</v>
      </c>
      <c r="K84" s="35" t="s">
        <v>43</v>
      </c>
    </row>
    <row r="85" spans="1:11" ht="45">
      <c r="A85" s="181"/>
      <c r="B85" s="181"/>
      <c r="C85" s="51" t="s">
        <v>365</v>
      </c>
      <c r="D85" s="45" t="s">
        <v>366</v>
      </c>
      <c r="E85" s="45" t="s">
        <v>350</v>
      </c>
      <c r="F85" s="45" t="s">
        <v>367</v>
      </c>
      <c r="G85" s="45" t="s">
        <v>368</v>
      </c>
      <c r="H85" s="48"/>
      <c r="I85" s="49" t="s">
        <v>51</v>
      </c>
      <c r="J85" s="231" t="s">
        <v>173</v>
      </c>
      <c r="K85" s="35"/>
    </row>
    <row r="86" spans="1:11" ht="45">
      <c r="A86" s="181"/>
      <c r="B86" s="181"/>
      <c r="C86" s="51" t="s">
        <v>369</v>
      </c>
      <c r="D86" s="45" t="s">
        <v>370</v>
      </c>
      <c r="E86" s="45" t="s">
        <v>350</v>
      </c>
      <c r="F86" s="45" t="s">
        <v>371</v>
      </c>
      <c r="G86" s="45" t="s">
        <v>372</v>
      </c>
      <c r="H86" s="48" t="s">
        <v>43</v>
      </c>
      <c r="I86" s="49" t="s">
        <v>44</v>
      </c>
      <c r="J86" s="231" t="s">
        <v>173</v>
      </c>
      <c r="K86" s="35" t="s">
        <v>43</v>
      </c>
    </row>
    <row r="87" spans="1:11" ht="45">
      <c r="A87" s="181"/>
      <c r="B87" s="181"/>
      <c r="C87" s="51" t="s">
        <v>373</v>
      </c>
      <c r="D87" s="45" t="s">
        <v>374</v>
      </c>
      <c r="E87" s="45" t="s">
        <v>350</v>
      </c>
      <c r="F87" s="45" t="s">
        <v>375</v>
      </c>
      <c r="G87" s="45" t="s">
        <v>376</v>
      </c>
      <c r="H87" s="48" t="s">
        <v>43</v>
      </c>
      <c r="I87" s="49" t="s">
        <v>51</v>
      </c>
      <c r="J87" s="231" t="s">
        <v>173</v>
      </c>
      <c r="K87" s="35" t="s">
        <v>43</v>
      </c>
    </row>
    <row r="88" spans="1:11" ht="45">
      <c r="A88" s="181"/>
      <c r="B88" s="181"/>
      <c r="C88" s="51" t="s">
        <v>377</v>
      </c>
      <c r="D88" s="45" t="s">
        <v>378</v>
      </c>
      <c r="E88" s="45" t="s">
        <v>350</v>
      </c>
      <c r="F88" s="45" t="s">
        <v>379</v>
      </c>
      <c r="G88" s="45" t="s">
        <v>380</v>
      </c>
      <c r="H88" s="48" t="s">
        <v>43</v>
      </c>
      <c r="I88" s="49" t="s">
        <v>51</v>
      </c>
      <c r="J88" s="231" t="s">
        <v>173</v>
      </c>
      <c r="K88" s="35" t="s">
        <v>43</v>
      </c>
    </row>
    <row r="89" spans="1:11" ht="45">
      <c r="A89" s="181"/>
      <c r="B89" s="181"/>
      <c r="C89" s="51" t="s">
        <v>381</v>
      </c>
      <c r="D89" s="45" t="s">
        <v>382</v>
      </c>
      <c r="E89" s="45" t="s">
        <v>350</v>
      </c>
      <c r="F89" s="45" t="s">
        <v>383</v>
      </c>
      <c r="G89" s="45" t="s">
        <v>384</v>
      </c>
      <c r="H89" s="48" t="s">
        <v>43</v>
      </c>
      <c r="I89" s="49" t="s">
        <v>51</v>
      </c>
      <c r="J89" s="231" t="s">
        <v>173</v>
      </c>
      <c r="K89" s="35" t="s">
        <v>43</v>
      </c>
    </row>
    <row r="90" spans="1:11" ht="45">
      <c r="A90" s="181"/>
      <c r="B90" s="181"/>
      <c r="C90" s="51" t="s">
        <v>385</v>
      </c>
      <c r="D90" s="45" t="s">
        <v>386</v>
      </c>
      <c r="E90" s="45" t="s">
        <v>350</v>
      </c>
      <c r="F90" s="45" t="s">
        <v>387</v>
      </c>
      <c r="G90" s="45" t="s">
        <v>388</v>
      </c>
      <c r="H90" s="48" t="s">
        <v>43</v>
      </c>
      <c r="I90" s="49" t="s">
        <v>51</v>
      </c>
      <c r="J90" s="231" t="s">
        <v>173</v>
      </c>
      <c r="K90" s="35" t="s">
        <v>43</v>
      </c>
    </row>
    <row r="91" spans="1:11" ht="45">
      <c r="A91" s="181"/>
      <c r="B91" s="181"/>
      <c r="C91" s="51" t="s">
        <v>389</v>
      </c>
      <c r="D91" s="45" t="s">
        <v>390</v>
      </c>
      <c r="E91" s="45" t="s">
        <v>350</v>
      </c>
      <c r="F91" s="45" t="s">
        <v>391</v>
      </c>
      <c r="G91" s="45" t="s">
        <v>392</v>
      </c>
      <c r="H91" s="48" t="s">
        <v>43</v>
      </c>
      <c r="I91" s="49" t="s">
        <v>51</v>
      </c>
      <c r="J91" s="231" t="s">
        <v>173</v>
      </c>
      <c r="K91" s="35" t="s">
        <v>43</v>
      </c>
    </row>
    <row r="92" spans="1:11" ht="45">
      <c r="A92" s="181"/>
      <c r="B92" s="181"/>
      <c r="C92" s="51" t="s">
        <v>393</v>
      </c>
      <c r="D92" s="45" t="s">
        <v>394</v>
      </c>
      <c r="E92" s="45" t="s">
        <v>350</v>
      </c>
      <c r="F92" s="45" t="s">
        <v>395</v>
      </c>
      <c r="G92" s="45" t="s">
        <v>396</v>
      </c>
      <c r="H92" s="48" t="s">
        <v>43</v>
      </c>
      <c r="I92" s="49" t="s">
        <v>56</v>
      </c>
      <c r="J92" s="231" t="s">
        <v>173</v>
      </c>
      <c r="K92" s="35" t="s">
        <v>43</v>
      </c>
    </row>
    <row r="93" spans="1:11" ht="45">
      <c r="A93" s="181"/>
      <c r="B93" s="181"/>
      <c r="C93" s="51" t="s">
        <v>397</v>
      </c>
      <c r="D93" s="45" t="s">
        <v>398</v>
      </c>
      <c r="E93" s="45" t="s">
        <v>350</v>
      </c>
      <c r="F93" s="45" t="s">
        <v>399</v>
      </c>
      <c r="G93" s="45" t="s">
        <v>400</v>
      </c>
      <c r="H93" s="48" t="s">
        <v>43</v>
      </c>
      <c r="I93" s="49" t="s">
        <v>51</v>
      </c>
      <c r="J93" s="231" t="s">
        <v>173</v>
      </c>
      <c r="K93" s="35" t="s">
        <v>43</v>
      </c>
    </row>
    <row r="94" spans="1:11" ht="45">
      <c r="A94" s="181"/>
      <c r="B94" s="181"/>
      <c r="C94" s="51" t="s">
        <v>401</v>
      </c>
      <c r="D94" s="45" t="s">
        <v>402</v>
      </c>
      <c r="E94" s="45" t="s">
        <v>403</v>
      </c>
      <c r="F94" s="45" t="s">
        <v>404</v>
      </c>
      <c r="G94" s="45" t="s">
        <v>405</v>
      </c>
      <c r="H94" s="48" t="s">
        <v>43</v>
      </c>
      <c r="I94" s="49" t="s">
        <v>89</v>
      </c>
      <c r="J94" s="231" t="s">
        <v>173</v>
      </c>
      <c r="K94" s="35" t="s">
        <v>43</v>
      </c>
    </row>
    <row r="95" spans="1:11" ht="45">
      <c r="A95" s="181"/>
      <c r="B95" s="181"/>
      <c r="C95" s="51" t="s">
        <v>406</v>
      </c>
      <c r="D95" s="45" t="s">
        <v>407</v>
      </c>
      <c r="E95" s="45" t="s">
        <v>408</v>
      </c>
      <c r="F95" s="45" t="s">
        <v>409</v>
      </c>
      <c r="G95" s="45" t="s">
        <v>410</v>
      </c>
      <c r="H95" s="48" t="s">
        <v>43</v>
      </c>
      <c r="I95" s="49" t="s">
        <v>56</v>
      </c>
      <c r="J95" s="231" t="s">
        <v>173</v>
      </c>
      <c r="K95" s="35" t="s">
        <v>43</v>
      </c>
    </row>
    <row r="96" spans="1:11" ht="45">
      <c r="A96" s="181"/>
      <c r="B96" s="182"/>
      <c r="C96" s="51" t="s">
        <v>411</v>
      </c>
      <c r="D96" s="45" t="s">
        <v>412</v>
      </c>
      <c r="E96" s="45" t="s">
        <v>48</v>
      </c>
      <c r="F96" s="45" t="s">
        <v>413</v>
      </c>
      <c r="G96" s="45" t="s">
        <v>414</v>
      </c>
      <c r="H96" s="48" t="s">
        <v>43</v>
      </c>
      <c r="I96" s="49" t="s">
        <v>290</v>
      </c>
      <c r="J96" s="231" t="s">
        <v>173</v>
      </c>
      <c r="K96" s="35" t="s">
        <v>43</v>
      </c>
    </row>
    <row r="97" spans="1:11" ht="45">
      <c r="A97" s="179" t="s">
        <v>415</v>
      </c>
      <c r="B97" s="183" t="s">
        <v>416</v>
      </c>
      <c r="C97" s="51" t="s">
        <v>417</v>
      </c>
      <c r="D97" s="45" t="s">
        <v>418</v>
      </c>
      <c r="E97" s="45" t="s">
        <v>48</v>
      </c>
      <c r="F97" s="45" t="s">
        <v>419</v>
      </c>
      <c r="G97" s="45" t="s">
        <v>420</v>
      </c>
      <c r="H97" s="48" t="s">
        <v>43</v>
      </c>
      <c r="I97" s="49" t="s">
        <v>157</v>
      </c>
      <c r="J97" s="231" t="s">
        <v>173</v>
      </c>
      <c r="K97" s="35" t="s">
        <v>43</v>
      </c>
    </row>
    <row r="98" spans="1:11" ht="45">
      <c r="A98" s="179"/>
      <c r="B98" s="184"/>
      <c r="C98" s="51" t="s">
        <v>421</v>
      </c>
      <c r="D98" s="45" t="s">
        <v>422</v>
      </c>
      <c r="E98" s="45" t="s">
        <v>48</v>
      </c>
      <c r="F98" s="45" t="s">
        <v>423</v>
      </c>
      <c r="G98" s="45" t="s">
        <v>424</v>
      </c>
      <c r="H98" s="48" t="s">
        <v>43</v>
      </c>
      <c r="I98" s="49" t="s">
        <v>157</v>
      </c>
      <c r="J98" s="231" t="s">
        <v>173</v>
      </c>
      <c r="K98" s="35" t="s">
        <v>43</v>
      </c>
    </row>
    <row r="99" spans="1:11" ht="45">
      <c r="A99" s="179"/>
      <c r="B99" s="184"/>
      <c r="C99" s="51" t="s">
        <v>425</v>
      </c>
      <c r="D99" s="45" t="s">
        <v>426</v>
      </c>
      <c r="E99" s="45" t="s">
        <v>48</v>
      </c>
      <c r="F99" s="45" t="s">
        <v>427</v>
      </c>
      <c r="G99" s="45" t="s">
        <v>428</v>
      </c>
      <c r="H99" s="48" t="s">
        <v>43</v>
      </c>
      <c r="I99" s="49" t="s">
        <v>429</v>
      </c>
      <c r="J99" s="231" t="s">
        <v>173</v>
      </c>
      <c r="K99" s="35" t="s">
        <v>43</v>
      </c>
    </row>
    <row r="100" spans="1:11" ht="45">
      <c r="A100" s="179"/>
      <c r="B100" s="184"/>
      <c r="C100" s="51" t="s">
        <v>430</v>
      </c>
      <c r="D100" s="45" t="s">
        <v>431</v>
      </c>
      <c r="E100" s="45" t="s">
        <v>48</v>
      </c>
      <c r="F100" s="45" t="s">
        <v>432</v>
      </c>
      <c r="G100" s="45" t="s">
        <v>433</v>
      </c>
      <c r="H100" s="48" t="s">
        <v>43</v>
      </c>
      <c r="I100" s="49" t="s">
        <v>290</v>
      </c>
      <c r="J100" s="231" t="s">
        <v>173</v>
      </c>
      <c r="K100" s="35" t="s">
        <v>43</v>
      </c>
    </row>
    <row r="101" spans="1:11" ht="45">
      <c r="A101" s="179"/>
      <c r="B101" s="185"/>
      <c r="C101" s="51" t="s">
        <v>434</v>
      </c>
      <c r="D101" s="45" t="s">
        <v>435</v>
      </c>
      <c r="E101" s="45" t="s">
        <v>48</v>
      </c>
      <c r="F101" s="45" t="s">
        <v>436</v>
      </c>
      <c r="G101" s="45" t="s">
        <v>437</v>
      </c>
      <c r="H101" s="48" t="s">
        <v>43</v>
      </c>
      <c r="I101" s="49" t="s">
        <v>438</v>
      </c>
      <c r="J101" s="231" t="s">
        <v>173</v>
      </c>
      <c r="K101" s="35" t="s">
        <v>43</v>
      </c>
    </row>
  </sheetData>
  <mergeCells count="22">
    <mergeCell ref="A51:A69"/>
    <mergeCell ref="A70:A80"/>
    <mergeCell ref="A81:A96"/>
    <mergeCell ref="A97:A101"/>
    <mergeCell ref="B22:B36"/>
    <mergeCell ref="B70:B80"/>
    <mergeCell ref="B97:B101"/>
    <mergeCell ref="B81:B96"/>
    <mergeCell ref="B51:B69"/>
    <mergeCell ref="B11:B21"/>
    <mergeCell ref="B37:B50"/>
    <mergeCell ref="A11:A21"/>
    <mergeCell ref="A22:A36"/>
    <mergeCell ref="A37:A50"/>
    <mergeCell ref="B6:D6"/>
    <mergeCell ref="B7:D7"/>
    <mergeCell ref="A8:A9"/>
    <mergeCell ref="B1:D1"/>
    <mergeCell ref="B2:D2"/>
    <mergeCell ref="B3:D3"/>
    <mergeCell ref="B4:D4"/>
    <mergeCell ref="B5:D5"/>
  </mergeCells>
  <conditionalFormatting sqref="J11:J101">
    <cfRule type="containsText" dxfId="24" priority="19" operator="containsText" text="OPEN/PENDING">
      <formula>NOT(ISERROR(SEARCH("OPEN/PENDING",J11)))</formula>
    </cfRule>
    <cfRule type="containsText" dxfId="23" priority="20" operator="containsText" text="FAIL">
      <formula>NOT(ISERROR(SEARCH("FAIL",J11)))</formula>
    </cfRule>
    <cfRule type="containsText" dxfId="22" priority="21" operator="containsText" text="PASS">
      <formula>NOT(ISERROR(SEARCH("PASS",J11)))</formula>
    </cfRule>
  </conditionalFormatting>
  <dataValidations count="1">
    <dataValidation type="list" allowBlank="1" showInputMessage="1" showErrorMessage="1" sqref="J11:J101" xr:uid="{2D6B02AC-0118-4C6F-AECE-AA2CD0F07900}">
      <formula1>"PASS, FAIL, OPEN,PENDING"</formula1>
    </dataValidation>
  </dataValidations>
  <hyperlinks>
    <hyperlink ref="B2:D2" r:id="rId1" display="https://becamexcomvn.sharepoint.com/sites/SmartPole/Shared%20Documents/Forms/AllItems.aspx?id=%2Fsites%2FSmartPole%2FShared%20Documents%2FGeneral%2F3%5FTesting&amp;viewid=bd6ecf16%2Dd434%2D4481%2D9519%2D43b3d359c084" xr:uid="{E4C19574-68EF-45BA-A262-22A6DDE3E27F}"/>
    <hyperlink ref="B3:D3" r:id="rId2" display="https://www.figma.com/design/K28cNHKzebkL6egcCCx7V9/Wireframes?node-id=8502-5790&amp;t=5S5lygNqwcVmAPta-0" xr:uid="{ABA916FC-AEE5-41FA-A3E0-46077AC5AB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C874-4D36-4583-9FB4-96F6F147B2B5}">
  <dimension ref="A1:L80"/>
  <sheetViews>
    <sheetView topLeftCell="A34" workbookViewId="0">
      <selection activeCell="L24" sqref="L24"/>
    </sheetView>
  </sheetViews>
  <sheetFormatPr defaultColWidth="8.85546875" defaultRowHeight="15" outlineLevelRow="1"/>
  <cols>
    <col min="1" max="1" width="25.7109375" customWidth="1"/>
    <col min="2" max="2" width="16.7109375" customWidth="1"/>
    <col min="3" max="3" width="21.42578125" customWidth="1"/>
    <col min="4" max="4" width="25.42578125" customWidth="1"/>
    <col min="5" max="5" width="27.140625" customWidth="1"/>
    <col min="6" max="6" width="37" customWidth="1"/>
    <col min="7" max="7" width="39" customWidth="1"/>
    <col min="8" max="8" width="76" customWidth="1"/>
    <col min="9" max="9" width="20.42578125" style="74" customWidth="1"/>
    <col min="10" max="10" width="30.140625" style="30" customWidth="1"/>
    <col min="11" max="12" width="20.42578125" customWidth="1"/>
  </cols>
  <sheetData>
    <row r="1" spans="1:12" ht="36">
      <c r="A1" s="1" t="s">
        <v>439</v>
      </c>
      <c r="B1" s="192" t="s">
        <v>440</v>
      </c>
      <c r="C1" s="192"/>
      <c r="D1" s="192"/>
      <c r="E1" s="46"/>
      <c r="F1" s="46"/>
      <c r="G1" s="46"/>
      <c r="H1" s="60" t="s">
        <v>2</v>
      </c>
      <c r="I1" s="60" t="s">
        <v>3</v>
      </c>
      <c r="J1" s="60" t="s">
        <v>4</v>
      </c>
      <c r="K1" s="60" t="s">
        <v>5</v>
      </c>
      <c r="L1" s="232"/>
    </row>
    <row r="2" spans="1:12" ht="42" customHeight="1">
      <c r="A2" s="2" t="s">
        <v>441</v>
      </c>
      <c r="B2" s="173" t="s">
        <v>7</v>
      </c>
      <c r="C2" s="174"/>
      <c r="D2" s="175"/>
      <c r="E2" s="46"/>
      <c r="F2" s="46"/>
      <c r="G2" s="46"/>
      <c r="H2" s="119" t="s">
        <v>8</v>
      </c>
      <c r="I2" s="119" t="s">
        <v>442</v>
      </c>
      <c r="J2" s="119" t="s">
        <v>443</v>
      </c>
      <c r="K2" s="119" t="s">
        <v>444</v>
      </c>
      <c r="L2" s="73"/>
    </row>
    <row r="3" spans="1:12" ht="42" customHeight="1">
      <c r="A3" s="1" t="s">
        <v>445</v>
      </c>
      <c r="B3" s="176" t="s">
        <v>13</v>
      </c>
      <c r="C3" s="177"/>
      <c r="D3" s="178"/>
      <c r="E3" s="46"/>
      <c r="F3" s="46"/>
      <c r="G3" s="46"/>
      <c r="H3" s="119" t="s">
        <v>8</v>
      </c>
      <c r="I3" s="119" t="s">
        <v>446</v>
      </c>
      <c r="J3" s="119" t="s">
        <v>443</v>
      </c>
      <c r="K3" s="17" t="s">
        <v>447</v>
      </c>
      <c r="L3" s="61"/>
    </row>
    <row r="4" spans="1:12" ht="42" customHeight="1">
      <c r="A4" s="1" t="s">
        <v>448</v>
      </c>
      <c r="B4" s="193" t="s">
        <v>15</v>
      </c>
      <c r="C4" s="193"/>
      <c r="D4" s="193"/>
      <c r="E4" s="46"/>
      <c r="F4" s="46"/>
      <c r="G4" s="46"/>
      <c r="H4" s="119" t="s">
        <v>8</v>
      </c>
      <c r="I4" s="121">
        <v>46060</v>
      </c>
      <c r="J4" s="119" t="s">
        <v>443</v>
      </c>
      <c r="K4" s="122" t="s">
        <v>449</v>
      </c>
      <c r="L4" s="46"/>
    </row>
    <row r="5" spans="1:12" ht="42" customHeight="1">
      <c r="A5" s="1" t="s">
        <v>450</v>
      </c>
      <c r="B5" s="194">
        <v>45668</v>
      </c>
      <c r="C5" s="194"/>
      <c r="D5" s="194"/>
      <c r="E5" s="46"/>
      <c r="F5" s="46"/>
      <c r="G5" s="46"/>
      <c r="H5" s="46"/>
      <c r="I5" s="75"/>
      <c r="J5" s="73"/>
      <c r="K5" s="46"/>
      <c r="L5" s="46"/>
    </row>
    <row r="6" spans="1:12" ht="42" customHeight="1">
      <c r="A6" s="1" t="s">
        <v>451</v>
      </c>
      <c r="B6" s="195" t="s">
        <v>18</v>
      </c>
      <c r="C6" s="195"/>
      <c r="D6" s="195"/>
      <c r="E6" s="46"/>
      <c r="F6" s="46"/>
      <c r="G6" s="46"/>
      <c r="H6" s="46"/>
      <c r="I6" s="75"/>
      <c r="J6" s="73"/>
      <c r="K6" s="46"/>
      <c r="L6" s="46"/>
    </row>
    <row r="7" spans="1:12" ht="42" customHeight="1">
      <c r="A7" s="1" t="s">
        <v>452</v>
      </c>
      <c r="B7" s="189" t="s">
        <v>8</v>
      </c>
      <c r="C7" s="189"/>
      <c r="D7" s="189"/>
      <c r="E7" s="46"/>
      <c r="F7" s="46"/>
      <c r="G7" s="46"/>
      <c r="H7" s="46"/>
      <c r="I7" s="75"/>
      <c r="J7" s="73"/>
      <c r="K7" s="46"/>
      <c r="L7" s="46"/>
    </row>
    <row r="8" spans="1:12" ht="36">
      <c r="A8" s="190" t="s">
        <v>453</v>
      </c>
      <c r="B8" s="3" t="s">
        <v>454</v>
      </c>
      <c r="C8" s="4" t="s">
        <v>22</v>
      </c>
      <c r="D8" s="5" t="s">
        <v>23</v>
      </c>
      <c r="E8" s="46"/>
      <c r="F8" s="46"/>
      <c r="G8" s="46"/>
      <c r="H8" s="46"/>
      <c r="I8" s="75"/>
      <c r="J8" s="73"/>
      <c r="K8" s="46"/>
      <c r="L8" s="46"/>
    </row>
    <row r="9" spans="1:12" ht="17.100000000000001">
      <c r="A9" s="191"/>
      <c r="B9" s="6">
        <f>COUNTIF(J:J,"Pass")+COUNTIF(J:J,"Fail") +COUNTIF(J:J,"Open") + COUNTIF(J:J,"Pending") + COUNTIF(J:J,"Fixed")</f>
        <v>66</v>
      </c>
      <c r="C9" s="6">
        <f>COUNTIF(
J:J,"Pass")</f>
        <v>66</v>
      </c>
      <c r="D9" s="6">
        <f xml:space="preserve"> COUNTIF(
J:J,"Fail")</f>
        <v>0</v>
      </c>
      <c r="E9" s="46"/>
      <c r="F9" s="46"/>
      <c r="G9" s="46"/>
      <c r="H9" s="46"/>
      <c r="I9" s="75"/>
      <c r="J9" s="73"/>
      <c r="K9" s="46"/>
      <c r="L9" s="46"/>
    </row>
    <row r="10" spans="1:12" ht="72">
      <c r="A10" s="7" t="s">
        <v>455</v>
      </c>
      <c r="B10" s="8" t="s">
        <v>456</v>
      </c>
      <c r="C10" s="8" t="s">
        <v>457</v>
      </c>
      <c r="D10" s="8" t="s">
        <v>458</v>
      </c>
      <c r="E10" s="9" t="s">
        <v>459</v>
      </c>
      <c r="F10" s="10" t="s">
        <v>460</v>
      </c>
      <c r="G10" s="11" t="s">
        <v>461</v>
      </c>
      <c r="H10" s="13" t="s">
        <v>462</v>
      </c>
      <c r="I10" s="7" t="s">
        <v>32</v>
      </c>
      <c r="J10" s="7" t="s">
        <v>463</v>
      </c>
      <c r="K10" s="9" t="s">
        <v>464</v>
      </c>
      <c r="L10" s="12" t="s">
        <v>35</v>
      </c>
    </row>
    <row r="11" spans="1:12" s="62" customFormat="1" ht="80.099999999999994">
      <c r="A11" s="123" t="s">
        <v>465</v>
      </c>
      <c r="B11" s="123" t="s">
        <v>466</v>
      </c>
      <c r="C11" s="123" t="s">
        <v>467</v>
      </c>
      <c r="D11" s="123" t="s">
        <v>468</v>
      </c>
      <c r="E11" s="123" t="s">
        <v>469</v>
      </c>
      <c r="F11" s="123" t="s">
        <v>470</v>
      </c>
      <c r="G11" s="123" t="s">
        <v>471</v>
      </c>
      <c r="H11" s="123" t="s">
        <v>472</v>
      </c>
      <c r="I11" s="124" t="s">
        <v>51</v>
      </c>
      <c r="J11" s="31" t="s">
        <v>45</v>
      </c>
      <c r="K11" s="23"/>
      <c r="L11" s="25" t="s">
        <v>473</v>
      </c>
    </row>
    <row r="12" spans="1:12" s="62" customFormat="1" ht="63.95">
      <c r="A12" s="123" t="s">
        <v>465</v>
      </c>
      <c r="B12" s="123" t="s">
        <v>466</v>
      </c>
      <c r="C12" s="123" t="s">
        <v>474</v>
      </c>
      <c r="D12" s="123" t="s">
        <v>475</v>
      </c>
      <c r="E12" s="123" t="s">
        <v>476</v>
      </c>
      <c r="F12" s="123" t="s">
        <v>477</v>
      </c>
      <c r="G12" s="123" t="s">
        <v>478</v>
      </c>
      <c r="H12" s="123" t="s">
        <v>479</v>
      </c>
      <c r="I12" s="124" t="s">
        <v>44</v>
      </c>
      <c r="J12" s="31" t="s">
        <v>45</v>
      </c>
      <c r="K12" s="23"/>
      <c r="L12" s="19"/>
    </row>
    <row r="13" spans="1:12" s="62" customFormat="1" ht="80.099999999999994">
      <c r="A13" s="123" t="s">
        <v>465</v>
      </c>
      <c r="B13" s="123" t="s">
        <v>466</v>
      </c>
      <c r="C13" s="123" t="s">
        <v>480</v>
      </c>
      <c r="D13" s="123" t="s">
        <v>481</v>
      </c>
      <c r="E13" s="123" t="s">
        <v>476</v>
      </c>
      <c r="F13" s="123" t="s">
        <v>482</v>
      </c>
      <c r="G13" s="123" t="s">
        <v>483</v>
      </c>
      <c r="H13" s="123" t="s">
        <v>484</v>
      </c>
      <c r="I13" s="124" t="s">
        <v>44</v>
      </c>
      <c r="J13" s="31" t="s">
        <v>45</v>
      </c>
      <c r="K13" s="23"/>
      <c r="L13" s="19"/>
    </row>
    <row r="14" spans="1:12" s="62" customFormat="1" ht="63.95">
      <c r="A14" s="123" t="s">
        <v>485</v>
      </c>
      <c r="B14" s="123" t="s">
        <v>486</v>
      </c>
      <c r="C14" s="123" t="s">
        <v>487</v>
      </c>
      <c r="D14" s="123" t="s">
        <v>488</v>
      </c>
      <c r="E14" s="123" t="s">
        <v>489</v>
      </c>
      <c r="F14" s="123" t="s">
        <v>490</v>
      </c>
      <c r="G14" s="123" t="s">
        <v>491</v>
      </c>
      <c r="H14" s="123" t="s">
        <v>492</v>
      </c>
      <c r="I14" s="124" t="s">
        <v>44</v>
      </c>
      <c r="J14" s="31" t="s">
        <v>45</v>
      </c>
      <c r="K14" s="23"/>
      <c r="L14" s="19"/>
    </row>
    <row r="15" spans="1:12" s="62" customFormat="1" ht="48">
      <c r="A15" s="123" t="s">
        <v>485</v>
      </c>
      <c r="B15" s="123" t="s">
        <v>486</v>
      </c>
      <c r="C15" s="123" t="s">
        <v>493</v>
      </c>
      <c r="D15" s="123" t="s">
        <v>494</v>
      </c>
      <c r="E15" s="123" t="s">
        <v>489</v>
      </c>
      <c r="F15" s="123" t="s">
        <v>495</v>
      </c>
      <c r="G15" s="123" t="s">
        <v>496</v>
      </c>
      <c r="H15" s="123" t="s">
        <v>497</v>
      </c>
      <c r="I15" s="124" t="s">
        <v>44</v>
      </c>
      <c r="J15" s="31" t="s">
        <v>45</v>
      </c>
      <c r="K15" s="23"/>
      <c r="L15" s="19"/>
    </row>
    <row r="16" spans="1:12" s="62" customFormat="1" ht="48">
      <c r="A16" s="123" t="s">
        <v>498</v>
      </c>
      <c r="B16" s="123" t="s">
        <v>499</v>
      </c>
      <c r="C16" s="123" t="s">
        <v>500</v>
      </c>
      <c r="D16" s="123" t="s">
        <v>501</v>
      </c>
      <c r="E16" s="123" t="s">
        <v>476</v>
      </c>
      <c r="F16" s="123" t="s">
        <v>502</v>
      </c>
      <c r="G16" s="123" t="s">
        <v>503</v>
      </c>
      <c r="H16" s="123" t="s">
        <v>504</v>
      </c>
      <c r="I16" s="124" t="s">
        <v>51</v>
      </c>
      <c r="J16" s="31" t="s">
        <v>45</v>
      </c>
      <c r="K16" s="23"/>
      <c r="L16" s="19"/>
    </row>
    <row r="17" spans="1:12" s="62" customFormat="1" ht="80.099999999999994">
      <c r="A17" s="123" t="s">
        <v>498</v>
      </c>
      <c r="B17" s="123" t="s">
        <v>499</v>
      </c>
      <c r="C17" s="123" t="s">
        <v>505</v>
      </c>
      <c r="D17" s="123" t="s">
        <v>506</v>
      </c>
      <c r="E17" s="123" t="s">
        <v>507</v>
      </c>
      <c r="F17" s="123" t="s">
        <v>508</v>
      </c>
      <c r="G17" s="123" t="s">
        <v>509</v>
      </c>
      <c r="H17" s="123" t="s">
        <v>510</v>
      </c>
      <c r="I17" s="124" t="s">
        <v>44</v>
      </c>
      <c r="J17" s="31" t="s">
        <v>45</v>
      </c>
      <c r="K17" s="23"/>
      <c r="L17" s="19"/>
    </row>
    <row r="18" spans="1:12" s="62" customFormat="1" ht="48">
      <c r="A18" s="123" t="s">
        <v>498</v>
      </c>
      <c r="B18" s="123" t="s">
        <v>499</v>
      </c>
      <c r="C18" s="123" t="s">
        <v>511</v>
      </c>
      <c r="D18" s="123" t="s">
        <v>512</v>
      </c>
      <c r="E18" s="123" t="s">
        <v>507</v>
      </c>
      <c r="F18" s="123" t="s">
        <v>513</v>
      </c>
      <c r="G18" s="123" t="s">
        <v>514</v>
      </c>
      <c r="H18" s="123" t="s">
        <v>515</v>
      </c>
      <c r="I18" s="124" t="s">
        <v>44</v>
      </c>
      <c r="J18" s="31" t="s">
        <v>45</v>
      </c>
      <c r="K18" s="23"/>
      <c r="L18" s="19"/>
    </row>
    <row r="19" spans="1:12" s="62" customFormat="1" ht="63.95">
      <c r="A19" s="123" t="s">
        <v>498</v>
      </c>
      <c r="B19" s="123" t="s">
        <v>499</v>
      </c>
      <c r="C19" s="123" t="s">
        <v>516</v>
      </c>
      <c r="D19" s="123" t="s">
        <v>517</v>
      </c>
      <c r="E19" s="123" t="s">
        <v>507</v>
      </c>
      <c r="F19" s="123" t="s">
        <v>518</v>
      </c>
      <c r="G19" s="123" t="s">
        <v>519</v>
      </c>
      <c r="H19" s="123" t="s">
        <v>520</v>
      </c>
      <c r="I19" s="124" t="s">
        <v>44</v>
      </c>
      <c r="J19" s="31" t="s">
        <v>45</v>
      </c>
      <c r="K19" s="23"/>
      <c r="L19" s="19"/>
    </row>
    <row r="20" spans="1:12" s="62" customFormat="1" ht="80.099999999999994">
      <c r="A20" s="123" t="s">
        <v>498</v>
      </c>
      <c r="B20" s="123" t="s">
        <v>499</v>
      </c>
      <c r="C20" s="123" t="s">
        <v>521</v>
      </c>
      <c r="D20" s="123" t="s">
        <v>522</v>
      </c>
      <c r="E20" s="123" t="s">
        <v>507</v>
      </c>
      <c r="F20" s="123" t="s">
        <v>523</v>
      </c>
      <c r="G20" s="123" t="s">
        <v>524</v>
      </c>
      <c r="H20" s="123" t="s">
        <v>525</v>
      </c>
      <c r="I20" s="124" t="s">
        <v>44</v>
      </c>
      <c r="J20" s="31" t="s">
        <v>45</v>
      </c>
      <c r="K20" s="23"/>
      <c r="L20" s="19"/>
    </row>
    <row r="21" spans="1:12" s="62" customFormat="1" ht="63.95">
      <c r="A21" s="123" t="s">
        <v>526</v>
      </c>
      <c r="B21" s="123" t="s">
        <v>527</v>
      </c>
      <c r="C21" s="123" t="s">
        <v>528</v>
      </c>
      <c r="D21" s="123" t="s">
        <v>529</v>
      </c>
      <c r="E21" s="123" t="s">
        <v>530</v>
      </c>
      <c r="F21" s="123" t="s">
        <v>531</v>
      </c>
      <c r="G21" s="123" t="s">
        <v>532</v>
      </c>
      <c r="H21" s="123" t="s">
        <v>533</v>
      </c>
      <c r="I21" s="124" t="s">
        <v>56</v>
      </c>
      <c r="J21" s="31" t="s">
        <v>45</v>
      </c>
      <c r="K21" s="23"/>
      <c r="L21" s="19"/>
    </row>
    <row r="22" spans="1:12" s="62" customFormat="1" ht="32.1">
      <c r="A22" s="123" t="s">
        <v>526</v>
      </c>
      <c r="B22" s="123" t="s">
        <v>527</v>
      </c>
      <c r="C22" s="123" t="s">
        <v>534</v>
      </c>
      <c r="D22" s="123" t="s">
        <v>535</v>
      </c>
      <c r="E22" s="123" t="s">
        <v>536</v>
      </c>
      <c r="F22" s="123" t="s">
        <v>537</v>
      </c>
      <c r="G22" s="123" t="s">
        <v>538</v>
      </c>
      <c r="H22" s="123" t="s">
        <v>539</v>
      </c>
      <c r="I22" s="124" t="s">
        <v>56</v>
      </c>
      <c r="J22" s="31" t="s">
        <v>45</v>
      </c>
      <c r="K22" s="23"/>
      <c r="L22" s="19"/>
    </row>
    <row r="23" spans="1:12" s="62" customFormat="1" ht="48">
      <c r="A23" s="123" t="s">
        <v>540</v>
      </c>
      <c r="B23" s="123" t="s">
        <v>541</v>
      </c>
      <c r="C23" s="123" t="s">
        <v>542</v>
      </c>
      <c r="D23" s="123" t="s">
        <v>543</v>
      </c>
      <c r="E23" s="123" t="s">
        <v>507</v>
      </c>
      <c r="F23" s="123" t="s">
        <v>544</v>
      </c>
      <c r="G23" s="123" t="s">
        <v>545</v>
      </c>
      <c r="H23" s="123" t="s">
        <v>546</v>
      </c>
      <c r="I23" s="124" t="s">
        <v>56</v>
      </c>
      <c r="J23" s="31" t="s">
        <v>45</v>
      </c>
      <c r="K23" s="23"/>
      <c r="L23" s="19"/>
    </row>
    <row r="24" spans="1:12" s="62" customFormat="1" ht="48">
      <c r="A24" s="123" t="s">
        <v>540</v>
      </c>
      <c r="B24" s="123" t="s">
        <v>541</v>
      </c>
      <c r="C24" s="123" t="s">
        <v>547</v>
      </c>
      <c r="D24" s="123" t="s">
        <v>548</v>
      </c>
      <c r="E24" s="123" t="s">
        <v>507</v>
      </c>
      <c r="F24" s="123" t="s">
        <v>549</v>
      </c>
      <c r="G24" s="123" t="s">
        <v>550</v>
      </c>
      <c r="H24" s="97" t="s">
        <v>551</v>
      </c>
      <c r="I24" s="124" t="s">
        <v>56</v>
      </c>
      <c r="J24" s="31" t="s">
        <v>45</v>
      </c>
      <c r="K24" s="23"/>
      <c r="L24" s="19"/>
    </row>
    <row r="25" spans="1:12" s="62" customFormat="1" ht="48">
      <c r="A25" s="123" t="s">
        <v>540</v>
      </c>
      <c r="B25" s="123" t="s">
        <v>541</v>
      </c>
      <c r="C25" s="123" t="s">
        <v>552</v>
      </c>
      <c r="D25" s="123" t="s">
        <v>553</v>
      </c>
      <c r="E25" s="123" t="s">
        <v>507</v>
      </c>
      <c r="F25" s="123" t="s">
        <v>554</v>
      </c>
      <c r="G25" s="123" t="s">
        <v>555</v>
      </c>
      <c r="H25" s="123" t="s">
        <v>556</v>
      </c>
      <c r="I25" s="124" t="s">
        <v>56</v>
      </c>
      <c r="J25" s="31" t="s">
        <v>45</v>
      </c>
      <c r="K25" s="23"/>
      <c r="L25" s="19"/>
    </row>
    <row r="26" spans="1:12" s="62" customFormat="1" ht="48">
      <c r="A26" s="123" t="s">
        <v>540</v>
      </c>
      <c r="B26" s="123" t="s">
        <v>541</v>
      </c>
      <c r="C26" s="123" t="s">
        <v>557</v>
      </c>
      <c r="D26" s="123" t="s">
        <v>558</v>
      </c>
      <c r="E26" s="123" t="s">
        <v>507</v>
      </c>
      <c r="F26" s="123" t="s">
        <v>559</v>
      </c>
      <c r="G26" s="123" t="s">
        <v>560</v>
      </c>
      <c r="H26" s="97" t="s">
        <v>561</v>
      </c>
      <c r="I26" s="124" t="s">
        <v>56</v>
      </c>
      <c r="J26" s="31" t="s">
        <v>45</v>
      </c>
      <c r="K26" s="23"/>
      <c r="L26" s="19"/>
    </row>
    <row r="27" spans="1:12" s="62" customFormat="1" ht="48">
      <c r="A27" s="123" t="s">
        <v>540</v>
      </c>
      <c r="B27" s="123" t="s">
        <v>541</v>
      </c>
      <c r="C27" s="123" t="s">
        <v>562</v>
      </c>
      <c r="D27" s="123" t="s">
        <v>563</v>
      </c>
      <c r="E27" s="123" t="s">
        <v>507</v>
      </c>
      <c r="F27" s="123" t="s">
        <v>564</v>
      </c>
      <c r="G27" s="123" t="s">
        <v>565</v>
      </c>
      <c r="H27" s="123" t="s">
        <v>566</v>
      </c>
      <c r="I27" s="124" t="s">
        <v>51</v>
      </c>
      <c r="J27" s="31" t="s">
        <v>45</v>
      </c>
      <c r="K27" s="23"/>
      <c r="L27" s="19"/>
    </row>
    <row r="28" spans="1:12" s="62" customFormat="1" ht="48">
      <c r="A28" s="123" t="s">
        <v>540</v>
      </c>
      <c r="B28" s="123" t="s">
        <v>541</v>
      </c>
      <c r="C28" s="123" t="s">
        <v>567</v>
      </c>
      <c r="D28" s="123" t="s">
        <v>568</v>
      </c>
      <c r="E28" s="123" t="s">
        <v>569</v>
      </c>
      <c r="F28" s="123" t="s">
        <v>570</v>
      </c>
      <c r="G28" s="123" t="s">
        <v>571</v>
      </c>
      <c r="H28" s="123" t="s">
        <v>572</v>
      </c>
      <c r="I28" s="124" t="s">
        <v>56</v>
      </c>
      <c r="J28" s="31" t="s">
        <v>45</v>
      </c>
      <c r="K28" s="23"/>
      <c r="L28" s="19"/>
    </row>
    <row r="29" spans="1:12" s="62" customFormat="1" ht="32.1">
      <c r="A29" s="123" t="s">
        <v>573</v>
      </c>
      <c r="B29" s="123" t="s">
        <v>574</v>
      </c>
      <c r="C29" s="123" t="s">
        <v>575</v>
      </c>
      <c r="D29" s="123" t="s">
        <v>576</v>
      </c>
      <c r="E29" s="123" t="s">
        <v>577</v>
      </c>
      <c r="F29" s="123" t="s">
        <v>578</v>
      </c>
      <c r="G29" s="123" t="s">
        <v>579</v>
      </c>
      <c r="H29" s="123" t="s">
        <v>580</v>
      </c>
      <c r="I29" s="124" t="s">
        <v>56</v>
      </c>
      <c r="J29" s="31" t="s">
        <v>45</v>
      </c>
      <c r="K29" s="23"/>
      <c r="L29" s="19"/>
    </row>
    <row r="30" spans="1:12" s="62" customFormat="1" ht="32.1">
      <c r="A30" s="123" t="s">
        <v>573</v>
      </c>
      <c r="B30" s="123" t="s">
        <v>574</v>
      </c>
      <c r="C30" s="123" t="s">
        <v>581</v>
      </c>
      <c r="D30" s="123" t="s">
        <v>582</v>
      </c>
      <c r="E30" s="123" t="s">
        <v>507</v>
      </c>
      <c r="F30" s="123" t="s">
        <v>583</v>
      </c>
      <c r="G30" s="123" t="s">
        <v>584</v>
      </c>
      <c r="H30" s="123" t="s">
        <v>525</v>
      </c>
      <c r="I30" s="124" t="s">
        <v>51</v>
      </c>
      <c r="J30" s="31" t="s">
        <v>45</v>
      </c>
      <c r="K30" s="23"/>
      <c r="L30" s="19"/>
    </row>
    <row r="31" spans="1:12" s="62" customFormat="1" ht="63.95">
      <c r="A31" s="123" t="s">
        <v>573</v>
      </c>
      <c r="B31" s="123" t="s">
        <v>574</v>
      </c>
      <c r="C31" s="123" t="s">
        <v>585</v>
      </c>
      <c r="D31" s="123" t="s">
        <v>586</v>
      </c>
      <c r="E31" s="123" t="s">
        <v>507</v>
      </c>
      <c r="F31" s="123" t="s">
        <v>587</v>
      </c>
      <c r="G31" s="123" t="s">
        <v>588</v>
      </c>
      <c r="H31" s="123" t="s">
        <v>589</v>
      </c>
      <c r="I31" s="124" t="s">
        <v>56</v>
      </c>
      <c r="J31" s="31" t="s">
        <v>45</v>
      </c>
      <c r="K31" s="23"/>
      <c r="L31" s="19"/>
    </row>
    <row r="32" spans="1:12" s="62" customFormat="1" ht="48">
      <c r="A32" s="123" t="s">
        <v>590</v>
      </c>
      <c r="B32" s="123" t="s">
        <v>591</v>
      </c>
      <c r="C32" s="123" t="s">
        <v>592</v>
      </c>
      <c r="D32" s="123" t="s">
        <v>593</v>
      </c>
      <c r="E32" s="123" t="s">
        <v>507</v>
      </c>
      <c r="F32" s="123" t="s">
        <v>594</v>
      </c>
      <c r="G32" s="123" t="s">
        <v>595</v>
      </c>
      <c r="H32" s="123" t="s">
        <v>596</v>
      </c>
      <c r="I32" s="124" t="s">
        <v>44</v>
      </c>
      <c r="J32" s="31" t="s">
        <v>45</v>
      </c>
      <c r="K32" s="23"/>
      <c r="L32" s="19"/>
    </row>
    <row r="33" spans="1:12" s="62" customFormat="1" ht="63.95">
      <c r="A33" s="123" t="s">
        <v>590</v>
      </c>
      <c r="B33" s="123" t="s">
        <v>591</v>
      </c>
      <c r="C33" s="123" t="s">
        <v>597</v>
      </c>
      <c r="D33" s="123" t="s">
        <v>598</v>
      </c>
      <c r="E33" s="123" t="s">
        <v>507</v>
      </c>
      <c r="F33" s="123" t="s">
        <v>599</v>
      </c>
      <c r="G33" s="123" t="s">
        <v>600</v>
      </c>
      <c r="H33" s="123" t="s">
        <v>601</v>
      </c>
      <c r="I33" s="124" t="s">
        <v>44</v>
      </c>
      <c r="J33" s="31" t="s">
        <v>45</v>
      </c>
      <c r="K33" s="23"/>
      <c r="L33" s="19"/>
    </row>
    <row r="34" spans="1:12" s="62" customFormat="1" ht="48">
      <c r="A34" s="123" t="s">
        <v>590</v>
      </c>
      <c r="B34" s="123" t="s">
        <v>591</v>
      </c>
      <c r="C34" s="123" t="s">
        <v>602</v>
      </c>
      <c r="D34" s="123" t="s">
        <v>603</v>
      </c>
      <c r="E34" s="123" t="s">
        <v>604</v>
      </c>
      <c r="F34" s="123" t="s">
        <v>605</v>
      </c>
      <c r="G34" s="123" t="s">
        <v>606</v>
      </c>
      <c r="H34" s="123" t="s">
        <v>607</v>
      </c>
      <c r="I34" s="124" t="s">
        <v>51</v>
      </c>
      <c r="J34" s="31" t="s">
        <v>45</v>
      </c>
      <c r="K34" s="23"/>
      <c r="L34" s="19"/>
    </row>
    <row r="35" spans="1:12" s="62" customFormat="1" ht="32.1">
      <c r="A35" s="123" t="s">
        <v>590</v>
      </c>
      <c r="B35" s="123" t="s">
        <v>591</v>
      </c>
      <c r="C35" s="123" t="s">
        <v>608</v>
      </c>
      <c r="D35" s="123" t="s">
        <v>609</v>
      </c>
      <c r="E35" s="123" t="s">
        <v>507</v>
      </c>
      <c r="F35" s="123" t="s">
        <v>610</v>
      </c>
      <c r="G35" s="123" t="s">
        <v>611</v>
      </c>
      <c r="H35" s="123" t="s">
        <v>612</v>
      </c>
      <c r="I35" s="124" t="s">
        <v>51</v>
      </c>
      <c r="J35" s="31" t="s">
        <v>45</v>
      </c>
      <c r="K35" s="23"/>
      <c r="L35" s="19"/>
    </row>
    <row r="36" spans="1:12" s="62" customFormat="1" ht="63.95">
      <c r="A36" s="123" t="s">
        <v>590</v>
      </c>
      <c r="B36" s="123" t="s">
        <v>591</v>
      </c>
      <c r="C36" s="123" t="s">
        <v>613</v>
      </c>
      <c r="D36" s="123" t="s">
        <v>614</v>
      </c>
      <c r="E36" s="123" t="s">
        <v>615</v>
      </c>
      <c r="F36" s="123" t="s">
        <v>616</v>
      </c>
      <c r="G36" s="123" t="s">
        <v>617</v>
      </c>
      <c r="H36" s="123" t="s">
        <v>618</v>
      </c>
      <c r="I36" s="124" t="s">
        <v>51</v>
      </c>
      <c r="J36" s="31" t="s">
        <v>45</v>
      </c>
      <c r="K36" s="23"/>
      <c r="L36" s="19"/>
    </row>
    <row r="37" spans="1:12" s="62" customFormat="1" ht="63.95">
      <c r="A37" s="123" t="s">
        <v>619</v>
      </c>
      <c r="B37" s="123" t="s">
        <v>620</v>
      </c>
      <c r="C37" s="123" t="s">
        <v>621</v>
      </c>
      <c r="D37" s="123" t="s">
        <v>622</v>
      </c>
      <c r="E37" s="123" t="s">
        <v>623</v>
      </c>
      <c r="F37" s="123" t="s">
        <v>624</v>
      </c>
      <c r="G37" s="123" t="s">
        <v>625</v>
      </c>
      <c r="H37" s="123" t="s">
        <v>626</v>
      </c>
      <c r="I37" s="124" t="s">
        <v>51</v>
      </c>
      <c r="J37" s="31" t="s">
        <v>45</v>
      </c>
      <c r="K37" s="23"/>
      <c r="L37" s="19"/>
    </row>
    <row r="38" spans="1:12" s="62" customFormat="1" ht="48">
      <c r="A38" s="123" t="s">
        <v>619</v>
      </c>
      <c r="B38" s="123" t="s">
        <v>620</v>
      </c>
      <c r="C38" s="123" t="s">
        <v>627</v>
      </c>
      <c r="D38" s="123" t="s">
        <v>628</v>
      </c>
      <c r="E38" s="123" t="s">
        <v>629</v>
      </c>
      <c r="F38" s="123" t="s">
        <v>630</v>
      </c>
      <c r="G38" s="123" t="s">
        <v>631</v>
      </c>
      <c r="H38" s="123" t="s">
        <v>632</v>
      </c>
      <c r="I38" s="124" t="s">
        <v>51</v>
      </c>
      <c r="J38" s="31" t="s">
        <v>45</v>
      </c>
      <c r="K38" s="23"/>
      <c r="L38" s="19"/>
    </row>
    <row r="39" spans="1:12" s="62" customFormat="1" ht="48">
      <c r="A39" s="123" t="s">
        <v>619</v>
      </c>
      <c r="B39" s="123" t="s">
        <v>620</v>
      </c>
      <c r="C39" s="123" t="s">
        <v>633</v>
      </c>
      <c r="D39" s="123" t="s">
        <v>634</v>
      </c>
      <c r="E39" s="123" t="s">
        <v>635</v>
      </c>
      <c r="F39" s="123" t="s">
        <v>636</v>
      </c>
      <c r="G39" s="123" t="s">
        <v>637</v>
      </c>
      <c r="H39" s="123" t="s">
        <v>638</v>
      </c>
      <c r="I39" s="124" t="s">
        <v>51</v>
      </c>
      <c r="J39" s="31" t="s">
        <v>45</v>
      </c>
      <c r="K39" s="23"/>
      <c r="L39" s="19"/>
    </row>
    <row r="40" spans="1:12" s="62" customFormat="1" ht="48">
      <c r="A40" s="123" t="s">
        <v>639</v>
      </c>
      <c r="B40" s="123" t="s">
        <v>640</v>
      </c>
      <c r="C40" s="123" t="s">
        <v>641</v>
      </c>
      <c r="D40" s="123" t="s">
        <v>642</v>
      </c>
      <c r="E40" s="123" t="s">
        <v>643</v>
      </c>
      <c r="F40" s="123" t="s">
        <v>644</v>
      </c>
      <c r="G40" s="123" t="s">
        <v>645</v>
      </c>
      <c r="H40" s="123" t="s">
        <v>646</v>
      </c>
      <c r="I40" s="124" t="s">
        <v>51</v>
      </c>
      <c r="J40" s="31" t="s">
        <v>45</v>
      </c>
      <c r="K40" s="23"/>
      <c r="L40" s="19"/>
    </row>
    <row r="41" spans="1:12" s="62" customFormat="1" ht="63.95">
      <c r="A41" s="123" t="s">
        <v>639</v>
      </c>
      <c r="B41" s="123" t="s">
        <v>640</v>
      </c>
      <c r="C41" s="123" t="s">
        <v>647</v>
      </c>
      <c r="D41" s="123" t="s">
        <v>648</v>
      </c>
      <c r="E41" s="123" t="s">
        <v>649</v>
      </c>
      <c r="F41" s="123" t="s">
        <v>650</v>
      </c>
      <c r="G41" s="123" t="s">
        <v>651</v>
      </c>
      <c r="H41" s="123" t="s">
        <v>652</v>
      </c>
      <c r="I41" s="124" t="s">
        <v>51</v>
      </c>
      <c r="J41" s="31" t="s">
        <v>45</v>
      </c>
      <c r="K41" s="23"/>
      <c r="L41" s="19"/>
    </row>
    <row r="42" spans="1:12" s="62" customFormat="1" ht="48">
      <c r="A42" s="123" t="s">
        <v>639</v>
      </c>
      <c r="B42" s="123" t="s">
        <v>640</v>
      </c>
      <c r="C42" s="123" t="s">
        <v>653</v>
      </c>
      <c r="D42" s="123" t="s">
        <v>654</v>
      </c>
      <c r="E42" s="123" t="s">
        <v>655</v>
      </c>
      <c r="F42" s="123" t="s">
        <v>656</v>
      </c>
      <c r="G42" s="123" t="s">
        <v>657</v>
      </c>
      <c r="H42" s="123" t="s">
        <v>658</v>
      </c>
      <c r="I42" s="124" t="s">
        <v>51</v>
      </c>
      <c r="J42" s="31" t="s">
        <v>45</v>
      </c>
      <c r="K42" s="23"/>
      <c r="L42" s="19"/>
    </row>
    <row r="43" spans="1:12" s="62" customFormat="1" ht="63.95">
      <c r="A43" s="123" t="s">
        <v>659</v>
      </c>
      <c r="B43" s="123" t="s">
        <v>660</v>
      </c>
      <c r="C43" s="123" t="s">
        <v>661</v>
      </c>
      <c r="D43" s="123" t="s">
        <v>662</v>
      </c>
      <c r="E43" s="123" t="s">
        <v>663</v>
      </c>
      <c r="F43" s="123" t="s">
        <v>664</v>
      </c>
      <c r="G43" s="123" t="s">
        <v>665</v>
      </c>
      <c r="H43" s="123" t="s">
        <v>666</v>
      </c>
      <c r="I43" s="124" t="s">
        <v>44</v>
      </c>
      <c r="J43" s="31" t="s">
        <v>45</v>
      </c>
      <c r="K43" s="23"/>
      <c r="L43" s="19"/>
    </row>
    <row r="44" spans="1:12" s="62" customFormat="1" ht="48">
      <c r="A44" s="123" t="s">
        <v>659</v>
      </c>
      <c r="B44" s="123" t="s">
        <v>660</v>
      </c>
      <c r="C44" s="123" t="s">
        <v>667</v>
      </c>
      <c r="D44" s="123" t="s">
        <v>668</v>
      </c>
      <c r="E44" s="123" t="s">
        <v>663</v>
      </c>
      <c r="F44" s="123" t="s">
        <v>669</v>
      </c>
      <c r="G44" s="123" t="s">
        <v>670</v>
      </c>
      <c r="H44" s="123" t="s">
        <v>671</v>
      </c>
      <c r="I44" s="124" t="s">
        <v>44</v>
      </c>
      <c r="J44" s="31" t="s">
        <v>45</v>
      </c>
      <c r="K44" s="23"/>
      <c r="L44" s="29"/>
    </row>
    <row r="45" spans="1:12" s="62" customFormat="1" ht="48">
      <c r="A45" s="123" t="s">
        <v>659</v>
      </c>
      <c r="B45" s="123" t="s">
        <v>660</v>
      </c>
      <c r="C45" s="123" t="s">
        <v>672</v>
      </c>
      <c r="D45" s="123" t="s">
        <v>673</v>
      </c>
      <c r="E45" s="123" t="s">
        <v>674</v>
      </c>
      <c r="F45" s="123" t="s">
        <v>675</v>
      </c>
      <c r="G45" s="123" t="s">
        <v>676</v>
      </c>
      <c r="H45" s="123" t="s">
        <v>677</v>
      </c>
      <c r="I45" s="124" t="s">
        <v>44</v>
      </c>
      <c r="J45" s="31" t="s">
        <v>45</v>
      </c>
      <c r="K45" s="23"/>
      <c r="L45" s="29"/>
    </row>
    <row r="46" spans="1:12" s="62" customFormat="1" ht="63.95">
      <c r="A46" s="123" t="s">
        <v>678</v>
      </c>
      <c r="B46" s="123" t="s">
        <v>679</v>
      </c>
      <c r="C46" s="123" t="s">
        <v>680</v>
      </c>
      <c r="D46" s="123" t="s">
        <v>681</v>
      </c>
      <c r="E46" s="123" t="s">
        <v>682</v>
      </c>
      <c r="F46" s="123" t="s">
        <v>683</v>
      </c>
      <c r="G46" s="123" t="s">
        <v>684</v>
      </c>
      <c r="H46" s="123" t="s">
        <v>685</v>
      </c>
      <c r="I46" s="124" t="s">
        <v>56</v>
      </c>
      <c r="J46" s="31" t="s">
        <v>45</v>
      </c>
      <c r="K46" s="23"/>
      <c r="L46" s="29"/>
    </row>
    <row r="47" spans="1:12" s="62" customFormat="1" ht="63.95">
      <c r="A47" s="123" t="s">
        <v>678</v>
      </c>
      <c r="B47" s="123" t="s">
        <v>679</v>
      </c>
      <c r="C47" s="123" t="s">
        <v>686</v>
      </c>
      <c r="D47" s="123" t="s">
        <v>687</v>
      </c>
      <c r="E47" s="123" t="s">
        <v>688</v>
      </c>
      <c r="F47" s="123" t="s">
        <v>689</v>
      </c>
      <c r="G47" s="123" t="s">
        <v>690</v>
      </c>
      <c r="H47" s="123" t="s">
        <v>691</v>
      </c>
      <c r="I47" s="124" t="s">
        <v>51</v>
      </c>
      <c r="J47" s="31" t="s">
        <v>45</v>
      </c>
      <c r="K47" s="23"/>
      <c r="L47" s="29"/>
    </row>
    <row r="48" spans="1:12" ht="60" outlineLevel="1">
      <c r="A48" s="123" t="s">
        <v>678</v>
      </c>
      <c r="B48" s="123" t="s">
        <v>679</v>
      </c>
      <c r="C48" s="123" t="s">
        <v>692</v>
      </c>
      <c r="D48" s="97" t="s">
        <v>693</v>
      </c>
      <c r="E48" s="106" t="s">
        <v>694</v>
      </c>
      <c r="F48" s="106" t="s">
        <v>695</v>
      </c>
      <c r="G48" s="106" t="s">
        <v>696</v>
      </c>
      <c r="H48" s="106" t="s">
        <v>697</v>
      </c>
      <c r="I48" s="106" t="s">
        <v>44</v>
      </c>
      <c r="J48" s="31" t="s">
        <v>45</v>
      </c>
      <c r="K48" s="23"/>
      <c r="L48" s="29"/>
    </row>
    <row r="49" spans="1:12" ht="63.95" outlineLevel="1">
      <c r="A49" s="123" t="s">
        <v>698</v>
      </c>
      <c r="B49" s="123" t="s">
        <v>699</v>
      </c>
      <c r="C49" s="123" t="s">
        <v>700</v>
      </c>
      <c r="D49" s="123" t="s">
        <v>701</v>
      </c>
      <c r="E49" s="123" t="s">
        <v>694</v>
      </c>
      <c r="F49" s="123" t="s">
        <v>702</v>
      </c>
      <c r="G49" s="123" t="s">
        <v>703</v>
      </c>
      <c r="H49" s="123" t="s">
        <v>704</v>
      </c>
      <c r="I49" s="124" t="s">
        <v>51</v>
      </c>
      <c r="J49" s="31" t="s">
        <v>45</v>
      </c>
      <c r="K49" s="23"/>
      <c r="L49" s="29"/>
    </row>
    <row r="50" spans="1:12" ht="48" outlineLevel="1">
      <c r="A50" s="123" t="s">
        <v>698</v>
      </c>
      <c r="B50" s="123" t="s">
        <v>699</v>
      </c>
      <c r="C50" s="123" t="s">
        <v>705</v>
      </c>
      <c r="D50" s="123" t="s">
        <v>706</v>
      </c>
      <c r="E50" s="123" t="s">
        <v>707</v>
      </c>
      <c r="F50" s="123" t="s">
        <v>708</v>
      </c>
      <c r="G50" s="123" t="s">
        <v>709</v>
      </c>
      <c r="H50" s="123" t="s">
        <v>710</v>
      </c>
      <c r="I50" s="124" t="s">
        <v>51</v>
      </c>
      <c r="J50" s="31" t="s">
        <v>45</v>
      </c>
      <c r="K50" s="23"/>
      <c r="L50" s="29"/>
    </row>
    <row r="51" spans="1:12" ht="48" outlineLevel="1">
      <c r="A51" s="123" t="s">
        <v>698</v>
      </c>
      <c r="B51" s="123" t="s">
        <v>699</v>
      </c>
      <c r="C51" s="123" t="s">
        <v>711</v>
      </c>
      <c r="D51" s="123" t="s">
        <v>712</v>
      </c>
      <c r="E51" s="123" t="s">
        <v>707</v>
      </c>
      <c r="F51" s="123" t="s">
        <v>713</v>
      </c>
      <c r="G51" s="123" t="s">
        <v>714</v>
      </c>
      <c r="H51" s="123" t="s">
        <v>715</v>
      </c>
      <c r="I51" s="124" t="s">
        <v>51</v>
      </c>
      <c r="J51" s="31" t="s">
        <v>45</v>
      </c>
      <c r="K51" s="23"/>
      <c r="L51" s="29"/>
    </row>
    <row r="52" spans="1:12" ht="48" outlineLevel="1">
      <c r="A52" s="123" t="s">
        <v>698</v>
      </c>
      <c r="B52" s="123" t="s">
        <v>699</v>
      </c>
      <c r="C52" s="123" t="s">
        <v>716</v>
      </c>
      <c r="D52" s="123" t="s">
        <v>717</v>
      </c>
      <c r="E52" s="123" t="s">
        <v>707</v>
      </c>
      <c r="F52" s="123" t="s">
        <v>718</v>
      </c>
      <c r="G52" s="123" t="s">
        <v>719</v>
      </c>
      <c r="H52" s="123" t="s">
        <v>720</v>
      </c>
      <c r="I52" s="124" t="s">
        <v>44</v>
      </c>
      <c r="J52" s="31" t="s">
        <v>45</v>
      </c>
      <c r="K52" s="23"/>
      <c r="L52" s="29"/>
    </row>
    <row r="53" spans="1:12" ht="63.95" outlineLevel="1">
      <c r="A53" s="123" t="s">
        <v>721</v>
      </c>
      <c r="B53" s="123" t="s">
        <v>722</v>
      </c>
      <c r="C53" s="123" t="s">
        <v>723</v>
      </c>
      <c r="D53" s="123" t="s">
        <v>724</v>
      </c>
      <c r="E53" s="123" t="s">
        <v>694</v>
      </c>
      <c r="F53" s="123" t="s">
        <v>725</v>
      </c>
      <c r="G53" s="123" t="s">
        <v>726</v>
      </c>
      <c r="H53" s="123" t="s">
        <v>727</v>
      </c>
      <c r="I53" s="124" t="s">
        <v>51</v>
      </c>
      <c r="J53" s="31" t="s">
        <v>45</v>
      </c>
      <c r="K53" s="23"/>
      <c r="L53" s="29"/>
    </row>
    <row r="54" spans="1:12" ht="32.1" outlineLevel="1">
      <c r="A54" s="123" t="s">
        <v>721</v>
      </c>
      <c r="B54" s="123" t="s">
        <v>722</v>
      </c>
      <c r="C54" s="123" t="s">
        <v>728</v>
      </c>
      <c r="D54" s="123" t="s">
        <v>729</v>
      </c>
      <c r="E54" s="123" t="s">
        <v>730</v>
      </c>
      <c r="F54" s="123" t="s">
        <v>731</v>
      </c>
      <c r="G54" s="123" t="s">
        <v>732</v>
      </c>
      <c r="H54" s="123" t="s">
        <v>733</v>
      </c>
      <c r="I54" s="124" t="s">
        <v>44</v>
      </c>
      <c r="J54" s="31" t="s">
        <v>45</v>
      </c>
      <c r="K54" s="23"/>
      <c r="L54" s="29"/>
    </row>
    <row r="55" spans="1:12" ht="48" outlineLevel="1">
      <c r="A55" s="123" t="s">
        <v>721</v>
      </c>
      <c r="B55" s="123" t="s">
        <v>722</v>
      </c>
      <c r="C55" s="123" t="s">
        <v>734</v>
      </c>
      <c r="D55" s="123" t="s">
        <v>735</v>
      </c>
      <c r="E55" s="123" t="s">
        <v>730</v>
      </c>
      <c r="F55" s="123" t="s">
        <v>736</v>
      </c>
      <c r="G55" s="123" t="s">
        <v>737</v>
      </c>
      <c r="H55" s="123" t="s">
        <v>738</v>
      </c>
      <c r="I55" s="124" t="s">
        <v>51</v>
      </c>
      <c r="J55" s="31" t="s">
        <v>45</v>
      </c>
      <c r="K55" s="23"/>
      <c r="L55" s="29"/>
    </row>
    <row r="56" spans="1:12" ht="32.1" outlineLevel="1">
      <c r="A56" s="123" t="s">
        <v>739</v>
      </c>
      <c r="B56" s="123" t="s">
        <v>740</v>
      </c>
      <c r="C56" s="123" t="s">
        <v>741</v>
      </c>
      <c r="D56" s="123" t="s">
        <v>742</v>
      </c>
      <c r="E56" s="123" t="s">
        <v>476</v>
      </c>
      <c r="F56" s="123" t="s">
        <v>743</v>
      </c>
      <c r="G56" s="123" t="s">
        <v>744</v>
      </c>
      <c r="H56" s="123" t="s">
        <v>745</v>
      </c>
      <c r="I56" s="124" t="s">
        <v>44</v>
      </c>
      <c r="J56" s="31" t="s">
        <v>45</v>
      </c>
      <c r="K56" s="23"/>
      <c r="L56" s="29"/>
    </row>
    <row r="57" spans="1:12" ht="48" outlineLevel="1">
      <c r="A57" s="123" t="s">
        <v>739</v>
      </c>
      <c r="B57" s="123" t="s">
        <v>740</v>
      </c>
      <c r="C57" s="123" t="s">
        <v>746</v>
      </c>
      <c r="D57" s="123" t="s">
        <v>747</v>
      </c>
      <c r="E57" s="123" t="s">
        <v>748</v>
      </c>
      <c r="F57" s="123" t="s">
        <v>749</v>
      </c>
      <c r="G57" s="123" t="s">
        <v>750</v>
      </c>
      <c r="H57" s="123" t="s">
        <v>525</v>
      </c>
      <c r="I57" s="124" t="s">
        <v>44</v>
      </c>
      <c r="J57" s="31" t="s">
        <v>45</v>
      </c>
      <c r="K57" s="23"/>
      <c r="L57" s="29"/>
    </row>
    <row r="58" spans="1:12" ht="63.95" outlineLevel="1">
      <c r="A58" s="123" t="s">
        <v>739</v>
      </c>
      <c r="B58" s="123" t="s">
        <v>740</v>
      </c>
      <c r="C58" s="123" t="s">
        <v>751</v>
      </c>
      <c r="D58" s="123" t="s">
        <v>752</v>
      </c>
      <c r="E58" s="123" t="s">
        <v>476</v>
      </c>
      <c r="F58" s="123" t="s">
        <v>753</v>
      </c>
      <c r="G58" s="123" t="s">
        <v>754</v>
      </c>
      <c r="H58" s="123" t="s">
        <v>755</v>
      </c>
      <c r="I58" s="124" t="s">
        <v>51</v>
      </c>
      <c r="J58" s="31" t="s">
        <v>45</v>
      </c>
      <c r="K58" s="23"/>
      <c r="L58" s="29"/>
    </row>
    <row r="59" spans="1:12" ht="48" outlineLevel="1">
      <c r="A59" s="123" t="s">
        <v>739</v>
      </c>
      <c r="B59" s="123" t="s">
        <v>740</v>
      </c>
      <c r="C59" s="123" t="s">
        <v>756</v>
      </c>
      <c r="D59" s="123" t="s">
        <v>757</v>
      </c>
      <c r="E59" s="123" t="s">
        <v>476</v>
      </c>
      <c r="F59" s="123" t="s">
        <v>758</v>
      </c>
      <c r="G59" s="123" t="s">
        <v>759</v>
      </c>
      <c r="H59" s="123" t="s">
        <v>760</v>
      </c>
      <c r="I59" s="124" t="s">
        <v>51</v>
      </c>
      <c r="J59" s="31" t="s">
        <v>45</v>
      </c>
      <c r="K59" s="23"/>
      <c r="L59" s="29"/>
    </row>
    <row r="60" spans="1:12" ht="63.95" outlineLevel="1">
      <c r="A60" s="123" t="s">
        <v>739</v>
      </c>
      <c r="B60" s="123" t="s">
        <v>740</v>
      </c>
      <c r="C60" s="123" t="s">
        <v>761</v>
      </c>
      <c r="D60" s="123" t="s">
        <v>762</v>
      </c>
      <c r="E60" s="123" t="s">
        <v>476</v>
      </c>
      <c r="F60" s="123" t="s">
        <v>763</v>
      </c>
      <c r="G60" s="123" t="s">
        <v>764</v>
      </c>
      <c r="H60" s="123" t="s">
        <v>765</v>
      </c>
      <c r="I60" s="124" t="s">
        <v>51</v>
      </c>
      <c r="J60" s="31" t="s">
        <v>45</v>
      </c>
      <c r="K60" s="23"/>
      <c r="L60" s="29"/>
    </row>
    <row r="61" spans="1:12" ht="48" outlineLevel="1">
      <c r="A61" s="123" t="s">
        <v>739</v>
      </c>
      <c r="B61" s="123" t="s">
        <v>740</v>
      </c>
      <c r="C61" s="123" t="s">
        <v>766</v>
      </c>
      <c r="D61" s="123" t="s">
        <v>767</v>
      </c>
      <c r="E61" s="123" t="s">
        <v>768</v>
      </c>
      <c r="F61" s="123" t="s">
        <v>769</v>
      </c>
      <c r="G61" s="123" t="s">
        <v>770</v>
      </c>
      <c r="H61" s="123" t="s">
        <v>771</v>
      </c>
      <c r="I61" s="124" t="s">
        <v>51</v>
      </c>
      <c r="J61" s="31" t="s">
        <v>45</v>
      </c>
      <c r="K61" s="23"/>
      <c r="L61" s="29"/>
    </row>
    <row r="62" spans="1:12" ht="48" outlineLevel="1">
      <c r="A62" s="123" t="s">
        <v>772</v>
      </c>
      <c r="B62" s="123" t="s">
        <v>773</v>
      </c>
      <c r="C62" s="123" t="s">
        <v>774</v>
      </c>
      <c r="D62" s="123" t="s">
        <v>775</v>
      </c>
      <c r="E62" s="123" t="s">
        <v>476</v>
      </c>
      <c r="F62" s="123" t="s">
        <v>776</v>
      </c>
      <c r="G62" s="123" t="s">
        <v>777</v>
      </c>
      <c r="H62" s="123" t="s">
        <v>778</v>
      </c>
      <c r="I62" s="124" t="s">
        <v>44</v>
      </c>
      <c r="J62" s="31" t="s">
        <v>45</v>
      </c>
      <c r="K62" s="23"/>
      <c r="L62" s="29"/>
    </row>
    <row r="63" spans="1:12" ht="48" outlineLevel="1">
      <c r="A63" s="123" t="s">
        <v>772</v>
      </c>
      <c r="B63" s="123" t="s">
        <v>773</v>
      </c>
      <c r="C63" s="123" t="s">
        <v>779</v>
      </c>
      <c r="D63" s="123" t="s">
        <v>780</v>
      </c>
      <c r="E63" s="123" t="s">
        <v>476</v>
      </c>
      <c r="F63" s="123" t="s">
        <v>781</v>
      </c>
      <c r="G63" s="123" t="s">
        <v>782</v>
      </c>
      <c r="H63" s="123" t="s">
        <v>783</v>
      </c>
      <c r="I63" s="124" t="s">
        <v>44</v>
      </c>
      <c r="J63" s="31" t="s">
        <v>45</v>
      </c>
      <c r="K63" s="23"/>
      <c r="L63" s="29"/>
    </row>
    <row r="64" spans="1:12" ht="48" outlineLevel="1">
      <c r="A64" s="123" t="s">
        <v>772</v>
      </c>
      <c r="B64" s="123" t="s">
        <v>773</v>
      </c>
      <c r="C64" s="123" t="s">
        <v>784</v>
      </c>
      <c r="D64" s="123" t="s">
        <v>785</v>
      </c>
      <c r="E64" s="123" t="s">
        <v>786</v>
      </c>
      <c r="F64" s="123" t="s">
        <v>787</v>
      </c>
      <c r="G64" s="123" t="s">
        <v>788</v>
      </c>
      <c r="H64" s="123" t="s">
        <v>789</v>
      </c>
      <c r="I64" s="124" t="s">
        <v>44</v>
      </c>
      <c r="J64" s="31" t="s">
        <v>45</v>
      </c>
      <c r="K64" s="23"/>
      <c r="L64" s="29"/>
    </row>
    <row r="65" spans="1:12" ht="63.95" outlineLevel="1">
      <c r="A65" s="123" t="s">
        <v>790</v>
      </c>
      <c r="B65" s="123" t="s">
        <v>791</v>
      </c>
      <c r="C65" s="123" t="s">
        <v>792</v>
      </c>
      <c r="D65" s="123" t="s">
        <v>793</v>
      </c>
      <c r="E65" s="123" t="s">
        <v>794</v>
      </c>
      <c r="F65" s="123" t="s">
        <v>795</v>
      </c>
      <c r="G65" s="123" t="s">
        <v>796</v>
      </c>
      <c r="H65" s="123" t="s">
        <v>797</v>
      </c>
      <c r="I65" s="124" t="s">
        <v>89</v>
      </c>
      <c r="J65" s="31" t="s">
        <v>798</v>
      </c>
      <c r="K65" s="23"/>
      <c r="L65" s="29"/>
    </row>
    <row r="66" spans="1:12" ht="80.099999999999994" outlineLevel="1">
      <c r="A66" s="123" t="s">
        <v>799</v>
      </c>
      <c r="B66" s="123" t="s">
        <v>800</v>
      </c>
      <c r="C66" s="123" t="s">
        <v>801</v>
      </c>
      <c r="D66" s="123" t="s">
        <v>802</v>
      </c>
      <c r="E66" s="123" t="s">
        <v>507</v>
      </c>
      <c r="F66" s="123" t="s">
        <v>803</v>
      </c>
      <c r="G66" s="123" t="s">
        <v>804</v>
      </c>
      <c r="H66" s="123" t="s">
        <v>805</v>
      </c>
      <c r="I66" s="124" t="s">
        <v>56</v>
      </c>
      <c r="J66" s="31" t="s">
        <v>45</v>
      </c>
      <c r="K66" s="23"/>
      <c r="L66" s="29"/>
    </row>
    <row r="67" spans="1:12" ht="80.099999999999994" outlineLevel="1">
      <c r="A67" s="123" t="s">
        <v>799</v>
      </c>
      <c r="B67" s="123" t="s">
        <v>800</v>
      </c>
      <c r="C67" s="123" t="s">
        <v>806</v>
      </c>
      <c r="D67" s="123" t="s">
        <v>807</v>
      </c>
      <c r="E67" s="123" t="s">
        <v>507</v>
      </c>
      <c r="F67" s="123" t="s">
        <v>808</v>
      </c>
      <c r="G67" s="123" t="s">
        <v>809</v>
      </c>
      <c r="H67" s="123" t="s">
        <v>810</v>
      </c>
      <c r="I67" s="124" t="s">
        <v>89</v>
      </c>
      <c r="J67" s="31" t="s">
        <v>45</v>
      </c>
      <c r="K67" s="23"/>
      <c r="L67" s="29"/>
    </row>
    <row r="68" spans="1:12" ht="48" outlineLevel="1">
      <c r="A68" s="123" t="s">
        <v>799</v>
      </c>
      <c r="B68" s="123" t="s">
        <v>800</v>
      </c>
      <c r="C68" s="123" t="s">
        <v>811</v>
      </c>
      <c r="D68" s="123" t="s">
        <v>812</v>
      </c>
      <c r="E68" s="123" t="s">
        <v>507</v>
      </c>
      <c r="F68" s="123" t="s">
        <v>813</v>
      </c>
      <c r="G68" s="123" t="s">
        <v>814</v>
      </c>
      <c r="H68" s="123" t="s">
        <v>815</v>
      </c>
      <c r="I68" s="124" t="s">
        <v>56</v>
      </c>
      <c r="J68" s="31" t="s">
        <v>45</v>
      </c>
      <c r="K68" s="23"/>
      <c r="L68" s="29"/>
    </row>
    <row r="69" spans="1:12" ht="114.75" customHeight="1" outlineLevel="1">
      <c r="A69" s="123" t="s">
        <v>799</v>
      </c>
      <c r="B69" s="123" t="s">
        <v>800</v>
      </c>
      <c r="C69" s="123" t="s">
        <v>816</v>
      </c>
      <c r="D69" s="123" t="s">
        <v>817</v>
      </c>
      <c r="E69" s="123" t="s">
        <v>818</v>
      </c>
      <c r="F69" s="123" t="s">
        <v>819</v>
      </c>
      <c r="G69" s="123" t="s">
        <v>820</v>
      </c>
      <c r="H69" s="123" t="s">
        <v>821</v>
      </c>
      <c r="I69" s="124" t="s">
        <v>44</v>
      </c>
      <c r="J69" s="31" t="s">
        <v>45</v>
      </c>
      <c r="K69" s="23"/>
      <c r="L69" s="29"/>
    </row>
    <row r="70" spans="1:12" ht="189" customHeight="1">
      <c r="A70" s="123" t="s">
        <v>822</v>
      </c>
      <c r="B70" s="123" t="s">
        <v>823</v>
      </c>
      <c r="C70" s="123" t="s">
        <v>824</v>
      </c>
      <c r="D70" s="123" t="s">
        <v>825</v>
      </c>
      <c r="E70" s="123" t="s">
        <v>826</v>
      </c>
      <c r="F70" s="123" t="s">
        <v>827</v>
      </c>
      <c r="G70" s="97" t="s">
        <v>828</v>
      </c>
      <c r="H70" s="106" t="s">
        <v>829</v>
      </c>
      <c r="I70" s="124" t="s">
        <v>290</v>
      </c>
      <c r="J70" s="31" t="s">
        <v>45</v>
      </c>
      <c r="K70" s="23" t="s">
        <v>830</v>
      </c>
      <c r="L70" s="29"/>
    </row>
    <row r="71" spans="1:12" ht="100.5" customHeight="1">
      <c r="A71" s="123" t="s">
        <v>831</v>
      </c>
      <c r="B71" s="123" t="s">
        <v>832</v>
      </c>
      <c r="C71" s="123" t="s">
        <v>833</v>
      </c>
      <c r="D71" s="123" t="s">
        <v>834</v>
      </c>
      <c r="E71" s="123" t="s">
        <v>835</v>
      </c>
      <c r="F71" s="123" t="s">
        <v>836</v>
      </c>
      <c r="G71" s="123" t="s">
        <v>837</v>
      </c>
      <c r="H71" s="123" t="s">
        <v>838</v>
      </c>
      <c r="I71" s="124" t="s">
        <v>290</v>
      </c>
      <c r="J71" s="31" t="s">
        <v>45</v>
      </c>
      <c r="K71" s="23"/>
      <c r="L71" s="29"/>
    </row>
    <row r="72" spans="1:12" ht="48">
      <c r="A72" s="123" t="s">
        <v>831</v>
      </c>
      <c r="B72" s="123" t="s">
        <v>832</v>
      </c>
      <c r="C72" s="123" t="s">
        <v>839</v>
      </c>
      <c r="D72" s="123" t="s">
        <v>840</v>
      </c>
      <c r="E72" s="123" t="s">
        <v>841</v>
      </c>
      <c r="F72" s="123" t="s">
        <v>842</v>
      </c>
      <c r="G72" s="123" t="s">
        <v>843</v>
      </c>
      <c r="H72" s="123" t="s">
        <v>844</v>
      </c>
      <c r="I72" s="124" t="s">
        <v>290</v>
      </c>
      <c r="J72" s="31" t="s">
        <v>45</v>
      </c>
      <c r="K72" s="23"/>
      <c r="L72" s="29"/>
    </row>
    <row r="73" spans="1:12" ht="45.95">
      <c r="A73" s="123" t="s">
        <v>831</v>
      </c>
      <c r="B73" s="123" t="s">
        <v>832</v>
      </c>
      <c r="C73" s="123" t="s">
        <v>845</v>
      </c>
      <c r="D73" s="128" t="s">
        <v>846</v>
      </c>
      <c r="E73" s="129" t="s">
        <v>615</v>
      </c>
      <c r="F73" s="129" t="s">
        <v>847</v>
      </c>
      <c r="G73" s="129" t="s">
        <v>848</v>
      </c>
      <c r="H73" s="129" t="s">
        <v>849</v>
      </c>
      <c r="I73" s="124" t="s">
        <v>290</v>
      </c>
      <c r="J73" s="31" t="s">
        <v>45</v>
      </c>
      <c r="K73" s="23"/>
      <c r="L73" s="29"/>
    </row>
    <row r="74" spans="1:12" ht="48">
      <c r="A74" s="123" t="s">
        <v>831</v>
      </c>
      <c r="B74" s="123" t="s">
        <v>832</v>
      </c>
      <c r="C74" s="123" t="s">
        <v>850</v>
      </c>
      <c r="D74" s="123" t="s">
        <v>851</v>
      </c>
      <c r="E74" s="123" t="s">
        <v>852</v>
      </c>
      <c r="F74" s="123" t="s">
        <v>853</v>
      </c>
      <c r="G74" s="123" t="s">
        <v>854</v>
      </c>
      <c r="H74" s="123" t="s">
        <v>855</v>
      </c>
      <c r="I74" s="124" t="s">
        <v>290</v>
      </c>
      <c r="J74" s="31" t="s">
        <v>45</v>
      </c>
      <c r="K74" s="23"/>
      <c r="L74" s="29"/>
    </row>
    <row r="75" spans="1:12" ht="48">
      <c r="A75" s="123" t="s">
        <v>831</v>
      </c>
      <c r="B75" s="123" t="s">
        <v>832</v>
      </c>
      <c r="C75" s="123" t="s">
        <v>856</v>
      </c>
      <c r="D75" s="123" t="s">
        <v>857</v>
      </c>
      <c r="E75" s="123" t="s">
        <v>663</v>
      </c>
      <c r="F75" s="123" t="s">
        <v>858</v>
      </c>
      <c r="G75" s="123" t="s">
        <v>848</v>
      </c>
      <c r="H75" s="123" t="s">
        <v>859</v>
      </c>
      <c r="I75" s="124" t="s">
        <v>290</v>
      </c>
      <c r="J75" s="31" t="s">
        <v>45</v>
      </c>
      <c r="K75" s="23"/>
      <c r="L75" s="29"/>
    </row>
    <row r="76" spans="1:12" ht="96">
      <c r="A76" s="123" t="s">
        <v>831</v>
      </c>
      <c r="B76" s="123" t="s">
        <v>832</v>
      </c>
      <c r="C76" s="123" t="s">
        <v>860</v>
      </c>
      <c r="D76" s="123" t="s">
        <v>861</v>
      </c>
      <c r="E76" s="123" t="s">
        <v>862</v>
      </c>
      <c r="F76" s="123" t="s">
        <v>863</v>
      </c>
      <c r="G76" s="123" t="s">
        <v>864</v>
      </c>
      <c r="H76" s="123" t="s">
        <v>865</v>
      </c>
      <c r="I76" s="124" t="s">
        <v>290</v>
      </c>
      <c r="J76" s="31" t="s">
        <v>45</v>
      </c>
      <c r="K76" s="23"/>
      <c r="L76" s="29"/>
    </row>
    <row r="77" spans="1:12" ht="96">
      <c r="A77" s="123" t="s">
        <v>866</v>
      </c>
      <c r="B77" s="123" t="s">
        <v>867</v>
      </c>
      <c r="C77" s="123" t="s">
        <v>868</v>
      </c>
      <c r="D77" s="123" t="s">
        <v>869</v>
      </c>
      <c r="E77" s="123" t="s">
        <v>870</v>
      </c>
      <c r="F77" s="123" t="s">
        <v>871</v>
      </c>
      <c r="G77" s="123" t="s">
        <v>872</v>
      </c>
      <c r="H77" s="123" t="s">
        <v>873</v>
      </c>
      <c r="I77" s="124" t="s">
        <v>51</v>
      </c>
      <c r="J77" s="31" t="s">
        <v>874</v>
      </c>
      <c r="K77" s="23"/>
      <c r="L77" s="29"/>
    </row>
    <row r="78" spans="1:12" ht="63.95">
      <c r="A78" s="123" t="s">
        <v>875</v>
      </c>
      <c r="B78" s="123" t="s">
        <v>876</v>
      </c>
      <c r="C78" s="123" t="s">
        <v>877</v>
      </c>
      <c r="D78" s="123" t="s">
        <v>878</v>
      </c>
      <c r="E78" s="123" t="s">
        <v>879</v>
      </c>
      <c r="F78" s="123" t="s">
        <v>880</v>
      </c>
      <c r="G78" s="123" t="s">
        <v>881</v>
      </c>
      <c r="H78" s="123" t="s">
        <v>882</v>
      </c>
      <c r="I78" s="124" t="s">
        <v>51</v>
      </c>
      <c r="J78" s="31" t="s">
        <v>45</v>
      </c>
      <c r="K78" s="23"/>
      <c r="L78" s="29"/>
    </row>
    <row r="79" spans="1:12" ht="96">
      <c r="A79" s="123" t="s">
        <v>883</v>
      </c>
      <c r="B79" s="123" t="s">
        <v>884</v>
      </c>
      <c r="C79" s="123" t="s">
        <v>885</v>
      </c>
      <c r="D79" s="123" t="s">
        <v>886</v>
      </c>
      <c r="E79" s="123" t="s">
        <v>862</v>
      </c>
      <c r="F79" s="123" t="s">
        <v>887</v>
      </c>
      <c r="G79" s="123" t="s">
        <v>888</v>
      </c>
      <c r="H79" s="123" t="s">
        <v>889</v>
      </c>
      <c r="I79" s="124" t="s">
        <v>56</v>
      </c>
      <c r="J79" s="31" t="s">
        <v>874</v>
      </c>
      <c r="K79" s="23"/>
      <c r="L79" s="29"/>
    </row>
    <row r="80" spans="1:12" ht="80.099999999999994">
      <c r="A80" s="123" t="s">
        <v>590</v>
      </c>
      <c r="B80" s="123" t="s">
        <v>591</v>
      </c>
      <c r="C80" s="123" t="s">
        <v>890</v>
      </c>
      <c r="D80" s="123" t="s">
        <v>891</v>
      </c>
      <c r="E80" s="123" t="s">
        <v>507</v>
      </c>
      <c r="F80" s="123" t="s">
        <v>892</v>
      </c>
      <c r="G80" s="123" t="s">
        <v>893</v>
      </c>
      <c r="H80" s="123" t="s">
        <v>894</v>
      </c>
      <c r="I80" s="124" t="s">
        <v>51</v>
      </c>
      <c r="J80" s="31" t="s">
        <v>895</v>
      </c>
      <c r="K80" s="23"/>
      <c r="L80" s="29"/>
    </row>
  </sheetData>
  <mergeCells count="8">
    <mergeCell ref="B7:D7"/>
    <mergeCell ref="A8:A9"/>
    <mergeCell ref="B1:D1"/>
    <mergeCell ref="B2:D2"/>
    <mergeCell ref="B3:D3"/>
    <mergeCell ref="B4:D4"/>
    <mergeCell ref="B5:D5"/>
    <mergeCell ref="B6:D6"/>
  </mergeCells>
  <conditionalFormatting sqref="J1:J1048576">
    <cfRule type="containsText" dxfId="21" priority="5" operator="containsText" text="FAIL">
      <formula>NOT(ISERROR(SEARCH("FAIL",J1)))</formula>
    </cfRule>
    <cfRule type="containsText" dxfId="20" priority="7" operator="containsText" text="PASS">
      <formula>NOT(ISERROR(SEARCH("PASS",J1)))</formula>
    </cfRule>
  </conditionalFormatting>
  <conditionalFormatting sqref="J45">
    <cfRule type="containsText" dxfId="19" priority="6" operator="containsText" text="FAILL">
      <formula>NOT(ISERROR(SEARCH("FAILL",J45)))</formula>
    </cfRule>
  </conditionalFormatting>
  <dataValidations count="3">
    <dataValidation type="list" allowBlank="1" showInputMessage="1" showErrorMessage="1" sqref="J65" xr:uid="{AB165335-406F-493D-A397-0553B2384CB5}">
      <formula1>$J$63:$J$66</formula1>
    </dataValidation>
    <dataValidation type="list" allowBlank="1" showInputMessage="1" showErrorMessage="1" sqref="K40" xr:uid="{193ED2F5-D7F0-4DAB-9BBF-A8BEFF129D3B}">
      <formula1>$J$18:$J$66</formula1>
    </dataValidation>
    <dataValidation type="list" allowBlank="1" showInputMessage="1" showErrorMessage="1" sqref="J11:J64" xr:uid="{E871A0F3-092F-4433-96FE-AF22BD00BC89}">
      <formula1>$J$11:$J$75</formula1>
    </dataValidation>
  </dataValidations>
  <hyperlinks>
    <hyperlink ref="B2:D2" r:id="rId1" display="https://becamexcomvn.sharepoint.com/sites/SmartPole/Shared%20Documents/Forms/AllItems.aspx?id=%2Fsites%2FSmartPole%2FShared%20Documents%2FGeneral%2F3%5FTesting&amp;viewid=bd6ecf16%2Dd434%2D4481%2D9519%2D43b3d359c084" xr:uid="{8DC0C5B7-57C9-4886-9085-3B8E9F259703}"/>
    <hyperlink ref="B3:D3" r:id="rId2" display="https://www.figma.com/design/K28cNHKzebkL6egcCCx7V9/Wireframes?node-id=8502-5790&amp;t=5S5lygNqwcVmAPta-0" xr:uid="{4A516CBA-667D-4C3C-9A6E-E0E56F60B01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4863-276D-4D73-828B-058270167DA8}">
  <dimension ref="A1:L84"/>
  <sheetViews>
    <sheetView topLeftCell="D87" workbookViewId="0">
      <selection activeCell="E169" sqref="E169"/>
    </sheetView>
  </sheetViews>
  <sheetFormatPr defaultColWidth="8.85546875" defaultRowHeight="15"/>
  <cols>
    <col min="1" max="1" width="25.7109375" customWidth="1"/>
    <col min="2" max="2" width="16.7109375" customWidth="1"/>
    <col min="3" max="3" width="21.42578125" customWidth="1"/>
    <col min="4" max="4" width="25.42578125" customWidth="1"/>
    <col min="5" max="5" width="27.140625" customWidth="1"/>
    <col min="6" max="6" width="37" customWidth="1"/>
    <col min="7" max="7" width="44.42578125" customWidth="1"/>
    <col min="8" max="8" width="37" customWidth="1"/>
    <col min="9" max="9" width="20.42578125" style="73" customWidth="1"/>
    <col min="10" max="11" width="20.42578125" customWidth="1"/>
  </cols>
  <sheetData>
    <row r="1" spans="1:12" ht="36">
      <c r="A1" s="1" t="s">
        <v>439</v>
      </c>
      <c r="B1" s="192" t="s">
        <v>896</v>
      </c>
      <c r="C1" s="192"/>
      <c r="D1" s="192"/>
      <c r="H1" s="60" t="s">
        <v>2</v>
      </c>
      <c r="I1" s="60" t="s">
        <v>3</v>
      </c>
      <c r="J1" s="60" t="s">
        <v>4</v>
      </c>
      <c r="K1" s="60" t="s">
        <v>5</v>
      </c>
    </row>
    <row r="2" spans="1:12" ht="42" customHeight="1">
      <c r="A2" s="2" t="s">
        <v>441</v>
      </c>
      <c r="B2" s="173" t="s">
        <v>7</v>
      </c>
      <c r="C2" s="174"/>
      <c r="D2" s="175"/>
      <c r="H2" s="72" t="s">
        <v>8</v>
      </c>
      <c r="I2" s="17" t="s">
        <v>897</v>
      </c>
      <c r="J2" s="72" t="s">
        <v>443</v>
      </c>
      <c r="K2" s="72" t="s">
        <v>898</v>
      </c>
    </row>
    <row r="3" spans="1:12" ht="42" customHeight="1">
      <c r="A3" s="1" t="s">
        <v>445</v>
      </c>
      <c r="B3" s="176" t="s">
        <v>13</v>
      </c>
      <c r="C3" s="177"/>
      <c r="D3" s="178"/>
    </row>
    <row r="4" spans="1:12" ht="42" customHeight="1">
      <c r="A4" s="1" t="s">
        <v>448</v>
      </c>
      <c r="B4" s="193" t="s">
        <v>15</v>
      </c>
      <c r="C4" s="193"/>
      <c r="D4" s="193"/>
    </row>
    <row r="5" spans="1:12" ht="42" customHeight="1">
      <c r="A5" s="1" t="s">
        <v>450</v>
      </c>
      <c r="B5" s="194">
        <v>45668</v>
      </c>
      <c r="C5" s="194"/>
      <c r="D5" s="194"/>
    </row>
    <row r="6" spans="1:12" ht="42" customHeight="1">
      <c r="A6" s="1" t="s">
        <v>451</v>
      </c>
      <c r="B6" s="195" t="s">
        <v>18</v>
      </c>
      <c r="C6" s="195"/>
      <c r="D6" s="195"/>
    </row>
    <row r="7" spans="1:12" ht="42" customHeight="1">
      <c r="A7" s="1" t="s">
        <v>452</v>
      </c>
      <c r="B7" s="189" t="s">
        <v>8</v>
      </c>
      <c r="C7" s="189"/>
      <c r="D7" s="189"/>
    </row>
    <row r="8" spans="1:12" ht="36">
      <c r="A8" s="190" t="s">
        <v>453</v>
      </c>
      <c r="B8" s="3" t="s">
        <v>454</v>
      </c>
      <c r="C8" s="4" t="s">
        <v>22</v>
      </c>
      <c r="D8" s="5" t="s">
        <v>23</v>
      </c>
    </row>
    <row r="9" spans="1:12" ht="17.100000000000001">
      <c r="A9" s="191"/>
      <c r="B9" s="6">
        <f>COUNTIF(J:J,"Pass")+COUNTIF(J:J,"Test Fail") +COUNTIF(J:J,"Open") + COUNTIF(J:J,"Pending") + COUNTIF(J:J,"Fixed")</f>
        <v>74</v>
      </c>
      <c r="C9" s="6">
        <f>COUNTIF(
J:J,"Pass")</f>
        <v>74</v>
      </c>
      <c r="D9" s="6">
        <f xml:space="preserve"> COUNTIF(
J:J,"Test Fail")</f>
        <v>0</v>
      </c>
    </row>
    <row r="10" spans="1:12" ht="72">
      <c r="A10" s="7" t="s">
        <v>455</v>
      </c>
      <c r="B10" s="8" t="s">
        <v>456</v>
      </c>
      <c r="C10" s="8" t="s">
        <v>457</v>
      </c>
      <c r="D10" s="8" t="s">
        <v>458</v>
      </c>
      <c r="E10" s="9" t="s">
        <v>899</v>
      </c>
      <c r="F10" s="10" t="s">
        <v>460</v>
      </c>
      <c r="G10" s="11" t="s">
        <v>461</v>
      </c>
      <c r="H10" s="13" t="s">
        <v>462</v>
      </c>
      <c r="I10" s="12" t="s">
        <v>32</v>
      </c>
      <c r="J10" s="8" t="s">
        <v>463</v>
      </c>
      <c r="K10" s="8" t="s">
        <v>464</v>
      </c>
      <c r="L10" s="12" t="s">
        <v>35</v>
      </c>
    </row>
    <row r="11" spans="1:12" ht="75">
      <c r="A11" s="186" t="s">
        <v>900</v>
      </c>
      <c r="B11" s="186" t="s">
        <v>901</v>
      </c>
      <c r="C11" s="63" t="s">
        <v>902</v>
      </c>
      <c r="D11" s="54" t="s">
        <v>903</v>
      </c>
      <c r="E11" s="54" t="s">
        <v>904</v>
      </c>
      <c r="F11" s="54" t="s">
        <v>905</v>
      </c>
      <c r="G11" s="54" t="s">
        <v>906</v>
      </c>
      <c r="H11" s="64"/>
      <c r="I11" s="49" t="s">
        <v>44</v>
      </c>
      <c r="J11" s="231" t="s">
        <v>45</v>
      </c>
      <c r="K11" s="233"/>
      <c r="L11" s="19"/>
    </row>
    <row r="12" spans="1:12" ht="30">
      <c r="A12" s="187"/>
      <c r="B12" s="187"/>
      <c r="C12" s="63" t="s">
        <v>907</v>
      </c>
      <c r="D12" s="54" t="s">
        <v>908</v>
      </c>
      <c r="E12" s="54" t="s">
        <v>909</v>
      </c>
      <c r="F12" s="54" t="s">
        <v>910</v>
      </c>
      <c r="G12" s="54" t="s">
        <v>911</v>
      </c>
      <c r="H12" s="64"/>
      <c r="I12" s="49" t="s">
        <v>51</v>
      </c>
      <c r="J12" s="231" t="s">
        <v>45</v>
      </c>
      <c r="K12" s="233"/>
      <c r="L12" s="19"/>
    </row>
    <row r="13" spans="1:12" ht="60">
      <c r="A13" s="188"/>
      <c r="B13" s="188"/>
      <c r="C13" s="63" t="s">
        <v>912</v>
      </c>
      <c r="D13" s="65" t="s">
        <v>913</v>
      </c>
      <c r="E13" s="65" t="s">
        <v>914</v>
      </c>
      <c r="F13" s="65" t="s">
        <v>915</v>
      </c>
      <c r="G13" s="65" t="s">
        <v>916</v>
      </c>
      <c r="H13" s="64"/>
      <c r="I13" s="49" t="s">
        <v>51</v>
      </c>
      <c r="J13" s="231" t="s">
        <v>45</v>
      </c>
      <c r="K13" s="233"/>
      <c r="L13" s="19"/>
    </row>
    <row r="14" spans="1:12" ht="67.5" customHeight="1">
      <c r="A14" s="186" t="s">
        <v>917</v>
      </c>
      <c r="B14" s="186" t="s">
        <v>918</v>
      </c>
      <c r="C14" s="63" t="s">
        <v>919</v>
      </c>
      <c r="D14" s="54" t="s">
        <v>920</v>
      </c>
      <c r="E14" s="54" t="s">
        <v>921</v>
      </c>
      <c r="F14" s="54" t="s">
        <v>922</v>
      </c>
      <c r="G14" s="54" t="s">
        <v>923</v>
      </c>
      <c r="H14" s="64"/>
      <c r="I14" s="49" t="s">
        <v>44</v>
      </c>
      <c r="J14" s="231" t="s">
        <v>45</v>
      </c>
      <c r="K14" s="233"/>
      <c r="L14" s="19"/>
    </row>
    <row r="15" spans="1:12" ht="60">
      <c r="A15" s="187"/>
      <c r="B15" s="187"/>
      <c r="C15" s="63" t="s">
        <v>924</v>
      </c>
      <c r="D15" s="54" t="s">
        <v>925</v>
      </c>
      <c r="E15" s="54" t="s">
        <v>926</v>
      </c>
      <c r="F15" s="54" t="s">
        <v>927</v>
      </c>
      <c r="G15" s="54" t="s">
        <v>928</v>
      </c>
      <c r="H15" s="64"/>
      <c r="I15" s="49" t="s">
        <v>51</v>
      </c>
      <c r="J15" s="231" t="s">
        <v>45</v>
      </c>
      <c r="K15" s="233"/>
      <c r="L15" s="19"/>
    </row>
    <row r="16" spans="1:12" ht="67.5" customHeight="1">
      <c r="A16" s="187"/>
      <c r="B16" s="187"/>
      <c r="C16" s="63" t="s">
        <v>929</v>
      </c>
      <c r="D16" s="54" t="s">
        <v>930</v>
      </c>
      <c r="E16" s="54" t="s">
        <v>926</v>
      </c>
      <c r="F16" s="54" t="s">
        <v>931</v>
      </c>
      <c r="G16" s="54" t="s">
        <v>932</v>
      </c>
      <c r="H16" s="64"/>
      <c r="I16" s="49" t="s">
        <v>51</v>
      </c>
      <c r="J16" s="231" t="s">
        <v>45</v>
      </c>
      <c r="K16" s="233"/>
      <c r="L16" s="19"/>
    </row>
    <row r="17" spans="1:12" ht="51" customHeight="1">
      <c r="A17" s="187"/>
      <c r="B17" s="187"/>
      <c r="C17" s="63" t="s">
        <v>933</v>
      </c>
      <c r="D17" s="54" t="s">
        <v>934</v>
      </c>
      <c r="E17" s="54" t="s">
        <v>926</v>
      </c>
      <c r="F17" s="54" t="s">
        <v>935</v>
      </c>
      <c r="G17" s="54" t="s">
        <v>936</v>
      </c>
      <c r="H17" s="64"/>
      <c r="I17" s="49" t="s">
        <v>290</v>
      </c>
      <c r="J17" s="231" t="s">
        <v>45</v>
      </c>
      <c r="K17" s="233"/>
      <c r="L17" s="19"/>
    </row>
    <row r="18" spans="1:12" ht="67.5" customHeight="1">
      <c r="A18" s="188"/>
      <c r="B18" s="188"/>
      <c r="C18" s="63" t="s">
        <v>937</v>
      </c>
      <c r="D18" s="65" t="s">
        <v>938</v>
      </c>
      <c r="E18" s="65" t="s">
        <v>939</v>
      </c>
      <c r="F18" s="65" t="s">
        <v>940</v>
      </c>
      <c r="G18" s="65" t="s">
        <v>941</v>
      </c>
      <c r="H18" s="64"/>
      <c r="I18" s="49" t="s">
        <v>56</v>
      </c>
      <c r="J18" s="231" t="s">
        <v>45</v>
      </c>
      <c r="K18" s="233"/>
      <c r="L18" s="19"/>
    </row>
    <row r="19" spans="1:12" ht="60">
      <c r="A19" s="186" t="s">
        <v>942</v>
      </c>
      <c r="B19" s="186" t="s">
        <v>943</v>
      </c>
      <c r="C19" s="63" t="s">
        <v>944</v>
      </c>
      <c r="D19" s="41" t="s">
        <v>945</v>
      </c>
      <c r="E19" s="41" t="s">
        <v>946</v>
      </c>
      <c r="F19" s="54" t="s">
        <v>947</v>
      </c>
      <c r="G19" s="71" t="s">
        <v>948</v>
      </c>
      <c r="H19" s="64"/>
      <c r="I19" s="49" t="s">
        <v>44</v>
      </c>
      <c r="J19" s="231" t="s">
        <v>45</v>
      </c>
      <c r="K19" s="233"/>
      <c r="L19" s="19"/>
    </row>
    <row r="20" spans="1:12" ht="67.5" customHeight="1">
      <c r="A20" s="187"/>
      <c r="B20" s="187"/>
      <c r="C20" s="63" t="s">
        <v>949</v>
      </c>
      <c r="D20" s="41" t="s">
        <v>950</v>
      </c>
      <c r="E20" s="41" t="s">
        <v>951</v>
      </c>
      <c r="F20" s="41" t="s">
        <v>952</v>
      </c>
      <c r="G20" s="71" t="s">
        <v>953</v>
      </c>
      <c r="H20" s="64"/>
      <c r="I20" s="49" t="s">
        <v>56</v>
      </c>
      <c r="J20" s="231" t="s">
        <v>45</v>
      </c>
      <c r="K20" s="233"/>
      <c r="L20" s="19"/>
    </row>
    <row r="21" spans="1:12" ht="67.5" customHeight="1">
      <c r="A21" s="187"/>
      <c r="B21" s="187"/>
      <c r="C21" s="63" t="s">
        <v>954</v>
      </c>
      <c r="D21" s="41" t="s">
        <v>955</v>
      </c>
      <c r="E21" s="41" t="s">
        <v>956</v>
      </c>
      <c r="F21" s="41" t="s">
        <v>957</v>
      </c>
      <c r="G21" s="71" t="s">
        <v>958</v>
      </c>
      <c r="H21" s="64"/>
      <c r="I21" s="49" t="s">
        <v>51</v>
      </c>
      <c r="J21" s="231" t="s">
        <v>45</v>
      </c>
      <c r="K21" s="233"/>
      <c r="L21" s="19"/>
    </row>
    <row r="22" spans="1:12" ht="45">
      <c r="A22" s="187"/>
      <c r="B22" s="187"/>
      <c r="C22" s="63" t="s">
        <v>959</v>
      </c>
      <c r="D22" s="41" t="s">
        <v>960</v>
      </c>
      <c r="E22" s="41" t="s">
        <v>961</v>
      </c>
      <c r="F22" s="41" t="s">
        <v>962</v>
      </c>
      <c r="G22" s="71" t="s">
        <v>963</v>
      </c>
      <c r="H22" s="64"/>
      <c r="I22" s="49" t="s">
        <v>51</v>
      </c>
      <c r="J22" s="231" t="s">
        <v>45</v>
      </c>
      <c r="K22" s="233"/>
      <c r="L22" s="19"/>
    </row>
    <row r="23" spans="1:12" ht="60">
      <c r="A23" s="187"/>
      <c r="B23" s="187"/>
      <c r="C23" s="63" t="s">
        <v>964</v>
      </c>
      <c r="D23" s="41" t="s">
        <v>965</v>
      </c>
      <c r="E23" s="41" t="s">
        <v>966</v>
      </c>
      <c r="F23" s="41" t="s">
        <v>967</v>
      </c>
      <c r="G23" s="71" t="s">
        <v>968</v>
      </c>
      <c r="H23" s="64"/>
      <c r="I23" s="49" t="s">
        <v>51</v>
      </c>
      <c r="J23" s="231" t="s">
        <v>45</v>
      </c>
      <c r="K23" s="233"/>
      <c r="L23" s="19"/>
    </row>
    <row r="24" spans="1:12" ht="51" customHeight="1">
      <c r="A24" s="187"/>
      <c r="B24" s="187"/>
      <c r="C24" s="63" t="s">
        <v>969</v>
      </c>
      <c r="D24" s="41" t="s">
        <v>970</v>
      </c>
      <c r="E24" s="41" t="s">
        <v>971</v>
      </c>
      <c r="F24" s="41" t="s">
        <v>972</v>
      </c>
      <c r="G24" s="71" t="s">
        <v>973</v>
      </c>
      <c r="H24" s="64"/>
      <c r="I24" s="49" t="s">
        <v>51</v>
      </c>
      <c r="J24" s="231" t="s">
        <v>45</v>
      </c>
      <c r="K24" s="233"/>
      <c r="L24" s="19"/>
    </row>
    <row r="25" spans="1:12" ht="84.75" customHeight="1">
      <c r="A25" s="187"/>
      <c r="B25" s="187"/>
      <c r="C25" s="63" t="s">
        <v>974</v>
      </c>
      <c r="D25" s="41" t="s">
        <v>975</v>
      </c>
      <c r="E25" s="41" t="s">
        <v>976</v>
      </c>
      <c r="F25" s="41" t="s">
        <v>977</v>
      </c>
      <c r="G25" s="71" t="s">
        <v>978</v>
      </c>
      <c r="H25" s="64"/>
      <c r="I25" s="49" t="s">
        <v>51</v>
      </c>
      <c r="J25" s="231" t="s">
        <v>45</v>
      </c>
      <c r="K25" s="233"/>
      <c r="L25" s="19"/>
    </row>
    <row r="26" spans="1:12" ht="51" customHeight="1">
      <c r="A26" s="187"/>
      <c r="B26" s="187"/>
      <c r="C26" s="63" t="s">
        <v>979</v>
      </c>
      <c r="D26" s="41" t="s">
        <v>980</v>
      </c>
      <c r="E26" s="41" t="s">
        <v>981</v>
      </c>
      <c r="F26" s="41" t="s">
        <v>982</v>
      </c>
      <c r="G26" s="71" t="s">
        <v>983</v>
      </c>
      <c r="H26" s="64"/>
      <c r="I26" s="49" t="s">
        <v>290</v>
      </c>
      <c r="J26" s="231" t="s">
        <v>45</v>
      </c>
      <c r="K26" s="233"/>
      <c r="L26" s="19"/>
    </row>
    <row r="27" spans="1:12" ht="45">
      <c r="A27" s="187"/>
      <c r="B27" s="187"/>
      <c r="C27" s="63" t="s">
        <v>984</v>
      </c>
      <c r="D27" s="41" t="s">
        <v>985</v>
      </c>
      <c r="E27" s="41" t="s">
        <v>986</v>
      </c>
      <c r="F27" s="41" t="s">
        <v>987</v>
      </c>
      <c r="G27" s="71" t="s">
        <v>988</v>
      </c>
      <c r="H27" s="64"/>
      <c r="I27" s="49" t="s">
        <v>290</v>
      </c>
      <c r="J27" s="231" t="s">
        <v>45</v>
      </c>
      <c r="K27" s="233"/>
      <c r="L27" s="19"/>
    </row>
    <row r="28" spans="1:12" ht="45">
      <c r="A28" s="188"/>
      <c r="B28" s="188"/>
      <c r="C28" s="63" t="s">
        <v>989</v>
      </c>
      <c r="D28" s="41" t="s">
        <v>990</v>
      </c>
      <c r="E28" s="41" t="s">
        <v>991</v>
      </c>
      <c r="F28" s="41" t="s">
        <v>992</v>
      </c>
      <c r="G28" s="71" t="s">
        <v>993</v>
      </c>
      <c r="H28" s="64"/>
      <c r="I28" s="49" t="s">
        <v>44</v>
      </c>
      <c r="J28" s="231" t="s">
        <v>45</v>
      </c>
      <c r="K28" s="233"/>
      <c r="L28" s="19"/>
    </row>
    <row r="29" spans="1:12" ht="90">
      <c r="A29" s="186" t="s">
        <v>994</v>
      </c>
      <c r="B29" s="186" t="s">
        <v>995</v>
      </c>
      <c r="C29" s="63" t="s">
        <v>996</v>
      </c>
      <c r="D29" s="66" t="s">
        <v>997</v>
      </c>
      <c r="E29" s="67" t="s">
        <v>998</v>
      </c>
      <c r="F29" s="67" t="s">
        <v>999</v>
      </c>
      <c r="G29" s="67" t="s">
        <v>1000</v>
      </c>
      <c r="H29" s="28"/>
      <c r="I29" s="49" t="s">
        <v>44</v>
      </c>
      <c r="J29" s="231" t="s">
        <v>45</v>
      </c>
      <c r="K29" s="233"/>
      <c r="L29" s="19"/>
    </row>
    <row r="30" spans="1:12" ht="60">
      <c r="A30" s="187"/>
      <c r="B30" s="187"/>
      <c r="C30" s="63" t="s">
        <v>1001</v>
      </c>
      <c r="D30" s="68" t="s">
        <v>1002</v>
      </c>
      <c r="E30" s="69" t="s">
        <v>1003</v>
      </c>
      <c r="F30" s="69" t="s">
        <v>1004</v>
      </c>
      <c r="G30" s="69" t="s">
        <v>1005</v>
      </c>
      <c r="H30" s="28"/>
      <c r="I30" s="49" t="s">
        <v>51</v>
      </c>
      <c r="J30" s="231" t="s">
        <v>45</v>
      </c>
      <c r="K30" s="233"/>
      <c r="L30" s="19"/>
    </row>
    <row r="31" spans="1:12" ht="51" customHeight="1">
      <c r="A31" s="187"/>
      <c r="B31" s="187"/>
      <c r="C31" s="63" t="s">
        <v>1006</v>
      </c>
      <c r="D31" s="68" t="s">
        <v>1007</v>
      </c>
      <c r="E31" s="69" t="s">
        <v>1008</v>
      </c>
      <c r="F31" s="69" t="s">
        <v>1009</v>
      </c>
      <c r="G31" s="69" t="s">
        <v>1010</v>
      </c>
      <c r="H31" s="28"/>
      <c r="I31" s="49" t="s">
        <v>51</v>
      </c>
      <c r="J31" s="231" t="s">
        <v>45</v>
      </c>
      <c r="K31" s="233"/>
      <c r="L31" s="19"/>
    </row>
    <row r="32" spans="1:12" ht="67.5" customHeight="1">
      <c r="A32" s="187"/>
      <c r="B32" s="187"/>
      <c r="C32" s="63" t="s">
        <v>1011</v>
      </c>
      <c r="D32" s="68" t="s">
        <v>1012</v>
      </c>
      <c r="E32" s="69" t="s">
        <v>1013</v>
      </c>
      <c r="F32" s="69" t="s">
        <v>1014</v>
      </c>
      <c r="G32" s="69" t="s">
        <v>1015</v>
      </c>
      <c r="H32" s="28"/>
      <c r="I32" s="49" t="s">
        <v>1016</v>
      </c>
      <c r="J32" s="231" t="s">
        <v>45</v>
      </c>
      <c r="K32" s="233"/>
      <c r="L32" s="19"/>
    </row>
    <row r="33" spans="1:12" ht="51" customHeight="1">
      <c r="A33" s="187"/>
      <c r="B33" s="187"/>
      <c r="C33" s="63" t="s">
        <v>1017</v>
      </c>
      <c r="D33" s="68" t="s">
        <v>1018</v>
      </c>
      <c r="E33" s="69" t="s">
        <v>1003</v>
      </c>
      <c r="F33" s="69" t="s">
        <v>1019</v>
      </c>
      <c r="G33" s="69" t="s">
        <v>1020</v>
      </c>
      <c r="H33" s="28"/>
      <c r="I33" s="49" t="s">
        <v>290</v>
      </c>
      <c r="J33" s="231" t="s">
        <v>45</v>
      </c>
      <c r="K33" s="233"/>
      <c r="L33" s="19"/>
    </row>
    <row r="34" spans="1:12" ht="51" customHeight="1">
      <c r="A34" s="187"/>
      <c r="B34" s="187"/>
      <c r="C34" s="63" t="s">
        <v>1021</v>
      </c>
      <c r="D34" s="68" t="s">
        <v>1022</v>
      </c>
      <c r="E34" s="69" t="s">
        <v>1023</v>
      </c>
      <c r="F34" s="69" t="s">
        <v>1024</v>
      </c>
      <c r="G34" s="69" t="s">
        <v>1025</v>
      </c>
      <c r="H34" s="28"/>
      <c r="I34" s="49" t="s">
        <v>56</v>
      </c>
      <c r="J34" s="231" t="s">
        <v>45</v>
      </c>
      <c r="K34" s="233"/>
      <c r="L34" s="19"/>
    </row>
    <row r="35" spans="1:12" ht="60">
      <c r="A35" s="187"/>
      <c r="B35" s="187"/>
      <c r="C35" s="63" t="s">
        <v>1026</v>
      </c>
      <c r="D35" s="68" t="s">
        <v>1027</v>
      </c>
      <c r="E35" s="69" t="s">
        <v>1028</v>
      </c>
      <c r="F35" s="69" t="s">
        <v>1029</v>
      </c>
      <c r="G35" s="69" t="s">
        <v>1030</v>
      </c>
      <c r="H35" s="28"/>
      <c r="I35" s="49" t="s">
        <v>44</v>
      </c>
      <c r="J35" s="231" t="s">
        <v>45</v>
      </c>
      <c r="K35" s="233"/>
      <c r="L35" s="19"/>
    </row>
    <row r="36" spans="1:12" ht="60">
      <c r="A36" s="187"/>
      <c r="B36" s="187"/>
      <c r="C36" s="63" t="s">
        <v>1031</v>
      </c>
      <c r="D36" s="68" t="s">
        <v>1032</v>
      </c>
      <c r="E36" s="69" t="s">
        <v>1033</v>
      </c>
      <c r="F36" s="69" t="s">
        <v>1034</v>
      </c>
      <c r="G36" s="69" t="s">
        <v>1035</v>
      </c>
      <c r="H36" s="28"/>
      <c r="I36" s="49" t="s">
        <v>51</v>
      </c>
      <c r="J36" s="231" t="s">
        <v>45</v>
      </c>
      <c r="K36" s="233"/>
      <c r="L36" s="19"/>
    </row>
    <row r="37" spans="1:12" ht="60">
      <c r="A37" s="187"/>
      <c r="B37" s="187"/>
      <c r="C37" s="63" t="s">
        <v>1036</v>
      </c>
      <c r="D37" s="68" t="s">
        <v>1037</v>
      </c>
      <c r="E37" s="69" t="s">
        <v>1038</v>
      </c>
      <c r="F37" s="69" t="s">
        <v>1039</v>
      </c>
      <c r="G37" s="69" t="s">
        <v>1040</v>
      </c>
      <c r="H37" s="28"/>
      <c r="I37" s="49" t="s">
        <v>1041</v>
      </c>
      <c r="J37" s="231" t="s">
        <v>45</v>
      </c>
      <c r="K37" s="233"/>
      <c r="L37" s="19"/>
    </row>
    <row r="38" spans="1:12" ht="30">
      <c r="A38" s="187"/>
      <c r="B38" s="187"/>
      <c r="C38" s="63" t="s">
        <v>1042</v>
      </c>
      <c r="D38" s="68" t="s">
        <v>1043</v>
      </c>
      <c r="E38" s="69" t="s">
        <v>1044</v>
      </c>
      <c r="F38" s="69" t="s">
        <v>1045</v>
      </c>
      <c r="G38" s="69" t="s">
        <v>1046</v>
      </c>
      <c r="H38" s="28"/>
      <c r="I38" s="49" t="s">
        <v>56</v>
      </c>
      <c r="J38" s="231" t="s">
        <v>45</v>
      </c>
      <c r="K38" s="233"/>
      <c r="L38" s="19"/>
    </row>
    <row r="39" spans="1:12" ht="60">
      <c r="A39" s="187"/>
      <c r="B39" s="187"/>
      <c r="C39" s="63" t="s">
        <v>1047</v>
      </c>
      <c r="D39" s="68" t="s">
        <v>1048</v>
      </c>
      <c r="E39" s="69" t="s">
        <v>1049</v>
      </c>
      <c r="F39" s="69" t="s">
        <v>1050</v>
      </c>
      <c r="G39" s="69" t="s">
        <v>1051</v>
      </c>
      <c r="H39" s="28"/>
      <c r="I39" s="49" t="s">
        <v>51</v>
      </c>
      <c r="J39" s="231" t="s">
        <v>45</v>
      </c>
      <c r="K39" s="233"/>
      <c r="L39" s="19"/>
    </row>
    <row r="40" spans="1:12" ht="30">
      <c r="A40" s="187"/>
      <c r="B40" s="187"/>
      <c r="C40" s="63" t="s">
        <v>1052</v>
      </c>
      <c r="D40" s="68" t="s">
        <v>1053</v>
      </c>
      <c r="E40" s="69" t="s">
        <v>1054</v>
      </c>
      <c r="F40" s="69" t="s">
        <v>1055</v>
      </c>
      <c r="G40" s="69" t="s">
        <v>1056</v>
      </c>
      <c r="H40" s="28"/>
      <c r="I40" s="49" t="s">
        <v>51</v>
      </c>
      <c r="J40" s="231" t="s">
        <v>45</v>
      </c>
      <c r="K40" s="233"/>
      <c r="L40" s="19"/>
    </row>
    <row r="41" spans="1:12" ht="30">
      <c r="A41" s="187"/>
      <c r="B41" s="187"/>
      <c r="C41" s="63" t="s">
        <v>1057</v>
      </c>
      <c r="D41" s="68" t="s">
        <v>1058</v>
      </c>
      <c r="E41" s="69" t="s">
        <v>1059</v>
      </c>
      <c r="F41" s="69" t="s">
        <v>1060</v>
      </c>
      <c r="G41" s="69" t="s">
        <v>1061</v>
      </c>
      <c r="H41" s="28"/>
      <c r="I41" s="49" t="s">
        <v>56</v>
      </c>
      <c r="J41" s="231" t="s">
        <v>45</v>
      </c>
      <c r="K41" s="233"/>
      <c r="L41" s="19"/>
    </row>
    <row r="42" spans="1:12" ht="45">
      <c r="A42" s="187"/>
      <c r="B42" s="187"/>
      <c r="C42" s="63" t="s">
        <v>1062</v>
      </c>
      <c r="D42" s="68" t="s">
        <v>1063</v>
      </c>
      <c r="E42" s="69" t="s">
        <v>1064</v>
      </c>
      <c r="F42" s="69" t="s">
        <v>1065</v>
      </c>
      <c r="G42" s="69" t="s">
        <v>1066</v>
      </c>
      <c r="H42" s="28"/>
      <c r="I42" s="49" t="s">
        <v>51</v>
      </c>
      <c r="J42" s="231" t="s">
        <v>45</v>
      </c>
      <c r="K42" s="233"/>
      <c r="L42" s="19"/>
    </row>
    <row r="43" spans="1:12" ht="45">
      <c r="A43" s="187"/>
      <c r="B43" s="187"/>
      <c r="C43" s="63" t="s">
        <v>1067</v>
      </c>
      <c r="D43" s="68" t="s">
        <v>1068</v>
      </c>
      <c r="E43" s="69" t="s">
        <v>1069</v>
      </c>
      <c r="F43" s="69" t="s">
        <v>1070</v>
      </c>
      <c r="G43" s="69" t="s">
        <v>1071</v>
      </c>
      <c r="H43" s="28"/>
      <c r="I43" s="49" t="s">
        <v>51</v>
      </c>
      <c r="J43" s="231" t="s">
        <v>45</v>
      </c>
      <c r="K43" s="233"/>
      <c r="L43" s="19"/>
    </row>
    <row r="44" spans="1:12" ht="30">
      <c r="A44" s="187"/>
      <c r="B44" s="187"/>
      <c r="C44" s="63" t="s">
        <v>1072</v>
      </c>
      <c r="D44" s="68" t="s">
        <v>1073</v>
      </c>
      <c r="E44" s="69" t="s">
        <v>1003</v>
      </c>
      <c r="F44" s="69" t="s">
        <v>1074</v>
      </c>
      <c r="G44" s="69" t="s">
        <v>1075</v>
      </c>
      <c r="H44" s="28"/>
      <c r="I44" s="49" t="s">
        <v>290</v>
      </c>
      <c r="J44" s="231" t="s">
        <v>45</v>
      </c>
      <c r="K44" s="233"/>
      <c r="L44" s="19"/>
    </row>
    <row r="45" spans="1:12" ht="30">
      <c r="A45" s="187"/>
      <c r="B45" s="187"/>
      <c r="C45" s="63" t="s">
        <v>1076</v>
      </c>
      <c r="D45" s="68" t="s">
        <v>1077</v>
      </c>
      <c r="E45" s="69" t="s">
        <v>939</v>
      </c>
      <c r="F45" s="69" t="s">
        <v>1078</v>
      </c>
      <c r="G45" s="69" t="s">
        <v>1079</v>
      </c>
      <c r="H45" s="28"/>
      <c r="I45" s="49" t="s">
        <v>56</v>
      </c>
      <c r="J45" s="231" t="s">
        <v>45</v>
      </c>
      <c r="K45" s="233"/>
      <c r="L45" s="29"/>
    </row>
    <row r="46" spans="1:12" ht="30">
      <c r="A46" s="187"/>
      <c r="B46" s="187"/>
      <c r="C46" s="63" t="s">
        <v>1080</v>
      </c>
      <c r="D46" s="68" t="s">
        <v>1081</v>
      </c>
      <c r="E46" s="70" t="s">
        <v>1082</v>
      </c>
      <c r="F46" s="69" t="s">
        <v>1083</v>
      </c>
      <c r="G46" s="69" t="s">
        <v>1084</v>
      </c>
      <c r="H46" s="28"/>
      <c r="I46" s="49" t="s">
        <v>44</v>
      </c>
      <c r="J46" s="231" t="s">
        <v>45</v>
      </c>
      <c r="K46" s="233"/>
      <c r="L46" s="29"/>
    </row>
    <row r="47" spans="1:12" ht="30">
      <c r="A47" s="187"/>
      <c r="B47" s="187"/>
      <c r="C47" s="63" t="s">
        <v>1085</v>
      </c>
      <c r="D47" s="68" t="s">
        <v>1086</v>
      </c>
      <c r="E47" s="69" t="s">
        <v>1087</v>
      </c>
      <c r="F47" s="69" t="s">
        <v>1088</v>
      </c>
      <c r="G47" s="69" t="s">
        <v>1089</v>
      </c>
      <c r="H47" s="28"/>
      <c r="I47" s="49" t="s">
        <v>290</v>
      </c>
      <c r="J47" s="231" t="s">
        <v>45</v>
      </c>
      <c r="K47" s="233"/>
      <c r="L47" s="29"/>
    </row>
    <row r="48" spans="1:12" ht="30">
      <c r="A48" s="187"/>
      <c r="B48" s="187"/>
      <c r="C48" s="63" t="s">
        <v>1090</v>
      </c>
      <c r="D48" s="68" t="s">
        <v>1091</v>
      </c>
      <c r="E48" s="70" t="s">
        <v>1082</v>
      </c>
      <c r="F48" s="69" t="s">
        <v>1092</v>
      </c>
      <c r="G48" s="69" t="s">
        <v>1093</v>
      </c>
      <c r="H48" s="28"/>
      <c r="I48" s="49" t="s">
        <v>44</v>
      </c>
      <c r="J48" s="231" t="s">
        <v>45</v>
      </c>
      <c r="K48" s="233"/>
      <c r="L48" s="29"/>
    </row>
    <row r="49" spans="1:12" ht="30">
      <c r="A49" s="187"/>
      <c r="B49" s="187"/>
      <c r="C49" s="63" t="s">
        <v>1094</v>
      </c>
      <c r="D49" s="68" t="s">
        <v>1095</v>
      </c>
      <c r="E49" s="69" t="s">
        <v>1096</v>
      </c>
      <c r="F49" s="69" t="s">
        <v>1097</v>
      </c>
      <c r="G49" s="69" t="s">
        <v>1098</v>
      </c>
      <c r="H49" s="28"/>
      <c r="I49" s="49" t="s">
        <v>51</v>
      </c>
      <c r="J49" s="231" t="s">
        <v>45</v>
      </c>
      <c r="K49" s="233"/>
      <c r="L49" s="29"/>
    </row>
    <row r="50" spans="1:12" ht="30">
      <c r="A50" s="188"/>
      <c r="B50" s="188"/>
      <c r="C50" s="63" t="s">
        <v>1099</v>
      </c>
      <c r="D50" s="68" t="s">
        <v>1100</v>
      </c>
      <c r="E50" s="69" t="s">
        <v>1101</v>
      </c>
      <c r="F50" s="69" t="s">
        <v>1102</v>
      </c>
      <c r="G50" s="69" t="s">
        <v>1103</v>
      </c>
      <c r="H50" s="28"/>
      <c r="I50" s="49" t="s">
        <v>44</v>
      </c>
      <c r="J50" s="231" t="s">
        <v>45</v>
      </c>
      <c r="K50" s="233"/>
      <c r="L50" s="29"/>
    </row>
    <row r="51" spans="1:12" ht="90">
      <c r="A51" s="186" t="s">
        <v>1104</v>
      </c>
      <c r="B51" s="186" t="s">
        <v>1105</v>
      </c>
      <c r="C51" s="63" t="s">
        <v>1106</v>
      </c>
      <c r="D51" s="19" t="s">
        <v>1107</v>
      </c>
      <c r="E51" s="19" t="s">
        <v>1108</v>
      </c>
      <c r="F51" s="19" t="s">
        <v>1109</v>
      </c>
      <c r="G51" s="19" t="s">
        <v>1110</v>
      </c>
      <c r="H51" s="28"/>
      <c r="I51" s="49" t="s">
        <v>51</v>
      </c>
      <c r="J51" s="231" t="s">
        <v>45</v>
      </c>
      <c r="K51" s="233"/>
      <c r="L51" s="29"/>
    </row>
    <row r="52" spans="1:12" ht="72">
      <c r="A52" s="187"/>
      <c r="B52" s="187"/>
      <c r="C52" s="63" t="s">
        <v>1111</v>
      </c>
      <c r="D52" s="19" t="s">
        <v>1112</v>
      </c>
      <c r="E52" s="19" t="s">
        <v>1113</v>
      </c>
      <c r="F52" s="19" t="s">
        <v>1114</v>
      </c>
      <c r="G52" s="19" t="s">
        <v>1115</v>
      </c>
      <c r="H52" s="28"/>
      <c r="I52" s="49" t="s">
        <v>51</v>
      </c>
      <c r="J52" s="231" t="s">
        <v>45</v>
      </c>
      <c r="K52" s="233"/>
      <c r="L52" s="29"/>
    </row>
    <row r="53" spans="1:12" ht="54">
      <c r="A53" s="187"/>
      <c r="B53" s="187"/>
      <c r="C53" s="63" t="s">
        <v>1116</v>
      </c>
      <c r="D53" s="19" t="s">
        <v>1117</v>
      </c>
      <c r="E53" s="19" t="s">
        <v>1118</v>
      </c>
      <c r="F53" s="19" t="s">
        <v>1119</v>
      </c>
      <c r="G53" s="19" t="s">
        <v>1120</v>
      </c>
      <c r="H53" s="28"/>
      <c r="I53" s="49" t="s">
        <v>1041</v>
      </c>
      <c r="J53" s="231" t="s">
        <v>45</v>
      </c>
      <c r="K53" s="233"/>
      <c r="L53" s="29"/>
    </row>
    <row r="54" spans="1:12" ht="72">
      <c r="A54" s="187"/>
      <c r="B54" s="187"/>
      <c r="C54" s="63" t="s">
        <v>1121</v>
      </c>
      <c r="D54" s="19" t="s">
        <v>1122</v>
      </c>
      <c r="E54" s="19" t="s">
        <v>1123</v>
      </c>
      <c r="F54" s="19" t="s">
        <v>1124</v>
      </c>
      <c r="G54" s="19" t="s">
        <v>1125</v>
      </c>
      <c r="H54" s="28"/>
      <c r="I54" s="49" t="s">
        <v>56</v>
      </c>
      <c r="J54" s="231" t="s">
        <v>45</v>
      </c>
      <c r="K54" s="233"/>
      <c r="L54" s="29"/>
    </row>
    <row r="55" spans="1:12" ht="90">
      <c r="A55" s="187"/>
      <c r="B55" s="187"/>
      <c r="C55" s="63" t="s">
        <v>1126</v>
      </c>
      <c r="D55" s="19" t="s">
        <v>1127</v>
      </c>
      <c r="E55" s="19" t="s">
        <v>1128</v>
      </c>
      <c r="F55" s="19" t="s">
        <v>1129</v>
      </c>
      <c r="G55" s="19" t="s">
        <v>1130</v>
      </c>
      <c r="H55" s="28"/>
      <c r="I55" s="49" t="s">
        <v>1016</v>
      </c>
      <c r="J55" s="231" t="s">
        <v>45</v>
      </c>
      <c r="K55" s="233"/>
      <c r="L55" s="29"/>
    </row>
    <row r="56" spans="1:12" ht="72">
      <c r="A56" s="187"/>
      <c r="B56" s="187"/>
      <c r="C56" s="63" t="s">
        <v>1131</v>
      </c>
      <c r="D56" s="19" t="s">
        <v>1132</v>
      </c>
      <c r="E56" s="19" t="s">
        <v>1133</v>
      </c>
      <c r="F56" s="19" t="s">
        <v>1134</v>
      </c>
      <c r="G56" s="19" t="s">
        <v>1135</v>
      </c>
      <c r="H56" s="28"/>
      <c r="I56" s="49" t="s">
        <v>44</v>
      </c>
      <c r="J56" s="231" t="s">
        <v>45</v>
      </c>
      <c r="K56" s="233"/>
    </row>
    <row r="57" spans="1:12" ht="54">
      <c r="A57" s="187"/>
      <c r="B57" s="187"/>
      <c r="C57" s="63" t="s">
        <v>1136</v>
      </c>
      <c r="D57" s="19" t="s">
        <v>1137</v>
      </c>
      <c r="E57" s="19" t="s">
        <v>1138</v>
      </c>
      <c r="F57" s="19" t="s">
        <v>1139</v>
      </c>
      <c r="G57" s="19" t="s">
        <v>1140</v>
      </c>
      <c r="H57" s="28"/>
      <c r="I57" s="49" t="s">
        <v>44</v>
      </c>
      <c r="J57" s="231" t="s">
        <v>45</v>
      </c>
      <c r="K57" s="233"/>
    </row>
    <row r="58" spans="1:12" ht="90">
      <c r="A58" s="188"/>
      <c r="B58" s="188"/>
      <c r="C58" s="63" t="s">
        <v>1141</v>
      </c>
      <c r="D58" s="19" t="s">
        <v>1142</v>
      </c>
      <c r="E58" s="19" t="s">
        <v>1143</v>
      </c>
      <c r="F58" s="19" t="s">
        <v>1144</v>
      </c>
      <c r="G58" s="19" t="s">
        <v>1145</v>
      </c>
      <c r="H58" s="28"/>
      <c r="I58" s="49" t="s">
        <v>51</v>
      </c>
      <c r="J58" s="231" t="s">
        <v>45</v>
      </c>
      <c r="K58" s="233"/>
    </row>
    <row r="59" spans="1:12" ht="72">
      <c r="A59" s="186" t="s">
        <v>1146</v>
      </c>
      <c r="B59" s="186" t="s">
        <v>1147</v>
      </c>
      <c r="C59" s="63" t="s">
        <v>1148</v>
      </c>
      <c r="D59" s="19" t="s">
        <v>1149</v>
      </c>
      <c r="E59" s="19" t="s">
        <v>1150</v>
      </c>
      <c r="F59" s="19" t="s">
        <v>1151</v>
      </c>
      <c r="G59" s="19" t="s">
        <v>1152</v>
      </c>
      <c r="H59" s="28"/>
      <c r="I59" s="49" t="s">
        <v>51</v>
      </c>
      <c r="J59" s="231" t="s">
        <v>45</v>
      </c>
      <c r="K59" s="233"/>
    </row>
    <row r="60" spans="1:12" ht="54">
      <c r="A60" s="187"/>
      <c r="B60" s="187"/>
      <c r="C60" s="63" t="s">
        <v>1153</v>
      </c>
      <c r="D60" s="19" t="s">
        <v>1154</v>
      </c>
      <c r="E60" s="19" t="s">
        <v>1155</v>
      </c>
      <c r="F60" s="19" t="s">
        <v>1156</v>
      </c>
      <c r="G60" s="19" t="s">
        <v>1157</v>
      </c>
      <c r="H60" s="28"/>
      <c r="I60" s="49" t="s">
        <v>1041</v>
      </c>
      <c r="J60" s="231" t="s">
        <v>45</v>
      </c>
      <c r="K60" s="233"/>
    </row>
    <row r="61" spans="1:12" ht="72">
      <c r="A61" s="187"/>
      <c r="B61" s="187"/>
      <c r="C61" s="63" t="s">
        <v>1158</v>
      </c>
      <c r="D61" s="19" t="s">
        <v>1159</v>
      </c>
      <c r="E61" s="19" t="s">
        <v>1160</v>
      </c>
      <c r="F61" s="19" t="s">
        <v>1161</v>
      </c>
      <c r="G61" s="19" t="s">
        <v>1162</v>
      </c>
      <c r="H61" s="28"/>
      <c r="I61" s="49" t="s">
        <v>56</v>
      </c>
      <c r="J61" s="231" t="s">
        <v>45</v>
      </c>
      <c r="K61" s="233"/>
    </row>
    <row r="62" spans="1:12" ht="72">
      <c r="A62" s="187"/>
      <c r="B62" s="187"/>
      <c r="C62" s="63" t="s">
        <v>1163</v>
      </c>
      <c r="D62" s="19" t="s">
        <v>1164</v>
      </c>
      <c r="E62" s="19" t="s">
        <v>1165</v>
      </c>
      <c r="F62" s="19" t="s">
        <v>1166</v>
      </c>
      <c r="G62" s="19" t="s">
        <v>1167</v>
      </c>
      <c r="H62" s="28"/>
      <c r="I62" s="49" t="s">
        <v>51</v>
      </c>
      <c r="J62" s="231" t="s">
        <v>45</v>
      </c>
      <c r="K62" s="233"/>
    </row>
    <row r="63" spans="1:12" ht="54">
      <c r="A63" s="188"/>
      <c r="B63" s="188"/>
      <c r="C63" s="63" t="s">
        <v>1168</v>
      </c>
      <c r="D63" s="19" t="s">
        <v>1169</v>
      </c>
      <c r="E63" s="19" t="s">
        <v>1170</v>
      </c>
      <c r="F63" s="19" t="s">
        <v>1171</v>
      </c>
      <c r="G63" s="19" t="s">
        <v>1172</v>
      </c>
      <c r="H63" s="28"/>
      <c r="I63" s="49" t="s">
        <v>290</v>
      </c>
      <c r="J63" s="231" t="s">
        <v>45</v>
      </c>
      <c r="K63" s="233"/>
    </row>
    <row r="64" spans="1:12" ht="108">
      <c r="A64" s="186" t="s">
        <v>1173</v>
      </c>
      <c r="B64" s="186" t="s">
        <v>1174</v>
      </c>
      <c r="C64" s="63" t="s">
        <v>1175</v>
      </c>
      <c r="D64" s="234" t="s">
        <v>1176</v>
      </c>
      <c r="E64" s="234" t="s">
        <v>1177</v>
      </c>
      <c r="F64" s="235" t="s">
        <v>1178</v>
      </c>
      <c r="G64" s="234" t="s">
        <v>1179</v>
      </c>
      <c r="H64" s="28"/>
      <c r="I64" s="49" t="s">
        <v>44</v>
      </c>
      <c r="J64" s="231" t="s">
        <v>45</v>
      </c>
      <c r="K64" s="233"/>
    </row>
    <row r="65" spans="1:11" ht="84.75" customHeight="1">
      <c r="A65" s="187"/>
      <c r="B65" s="187"/>
      <c r="C65" s="63" t="s">
        <v>1180</v>
      </c>
      <c r="D65" s="236" t="s">
        <v>1181</v>
      </c>
      <c r="E65" s="236" t="s">
        <v>1182</v>
      </c>
      <c r="F65" s="237" t="s">
        <v>1178</v>
      </c>
      <c r="G65" s="236" t="s">
        <v>1183</v>
      </c>
      <c r="H65" s="28"/>
      <c r="I65" s="49" t="s">
        <v>51</v>
      </c>
      <c r="J65" s="231" t="s">
        <v>45</v>
      </c>
      <c r="K65" s="233"/>
    </row>
    <row r="66" spans="1:11" ht="89.25" customHeight="1">
      <c r="A66" s="187"/>
      <c r="B66" s="187"/>
      <c r="C66" s="63" t="s">
        <v>1184</v>
      </c>
      <c r="D66" s="41" t="s">
        <v>1185</v>
      </c>
      <c r="E66" s="41" t="s">
        <v>1186</v>
      </c>
      <c r="F66" s="41" t="s">
        <v>1187</v>
      </c>
      <c r="G66" s="71" t="s">
        <v>1188</v>
      </c>
      <c r="H66" s="64"/>
      <c r="I66" s="49" t="s">
        <v>51</v>
      </c>
      <c r="J66" s="231" t="s">
        <v>45</v>
      </c>
      <c r="K66" s="233"/>
    </row>
    <row r="67" spans="1:11" ht="120">
      <c r="A67" s="187"/>
      <c r="B67" s="187"/>
      <c r="C67" s="63" t="s">
        <v>1189</v>
      </c>
      <c r="D67" s="41" t="s">
        <v>1190</v>
      </c>
      <c r="E67" s="41" t="s">
        <v>1191</v>
      </c>
      <c r="F67" s="41" t="s">
        <v>1192</v>
      </c>
      <c r="G67" s="71" t="s">
        <v>1193</v>
      </c>
      <c r="H67" s="64"/>
      <c r="I67" s="49" t="s">
        <v>51</v>
      </c>
      <c r="J67" s="231" t="s">
        <v>45</v>
      </c>
      <c r="K67" s="233"/>
    </row>
    <row r="68" spans="1:11" ht="75">
      <c r="A68" s="187"/>
      <c r="B68" s="187"/>
      <c r="C68" s="63" t="s">
        <v>1194</v>
      </c>
      <c r="D68" s="41" t="s">
        <v>1195</v>
      </c>
      <c r="E68" s="41" t="s">
        <v>1196</v>
      </c>
      <c r="F68" s="41" t="s">
        <v>1197</v>
      </c>
      <c r="G68" s="71" t="s">
        <v>1198</v>
      </c>
      <c r="H68" s="64"/>
      <c r="I68" s="49" t="s">
        <v>290</v>
      </c>
      <c r="J68" s="231" t="s">
        <v>45</v>
      </c>
      <c r="K68" s="233"/>
    </row>
    <row r="69" spans="1:11" ht="60">
      <c r="A69" s="187"/>
      <c r="B69" s="187"/>
      <c r="C69" s="63" t="s">
        <v>1199</v>
      </c>
      <c r="D69" s="41" t="s">
        <v>1200</v>
      </c>
      <c r="E69" s="41" t="s">
        <v>1201</v>
      </c>
      <c r="F69" s="41" t="s">
        <v>1202</v>
      </c>
      <c r="G69" s="71" t="s">
        <v>1203</v>
      </c>
      <c r="H69" s="64"/>
      <c r="I69" s="49" t="s">
        <v>44</v>
      </c>
      <c r="J69" s="231" t="s">
        <v>45</v>
      </c>
      <c r="K69" s="233"/>
    </row>
    <row r="70" spans="1:11" ht="90">
      <c r="A70" s="187"/>
      <c r="B70" s="187"/>
      <c r="C70" s="63" t="s">
        <v>1204</v>
      </c>
      <c r="D70" s="41" t="s">
        <v>1205</v>
      </c>
      <c r="E70" s="41" t="s">
        <v>1206</v>
      </c>
      <c r="F70" s="41" t="s">
        <v>1207</v>
      </c>
      <c r="G70" s="71" t="s">
        <v>1208</v>
      </c>
      <c r="H70" s="64"/>
      <c r="I70" s="49" t="s">
        <v>51</v>
      </c>
      <c r="J70" s="231" t="s">
        <v>45</v>
      </c>
      <c r="K70" s="233"/>
    </row>
    <row r="71" spans="1:11" ht="60">
      <c r="A71" s="187"/>
      <c r="B71" s="187"/>
      <c r="C71" s="63" t="s">
        <v>1209</v>
      </c>
      <c r="D71" s="41" t="s">
        <v>1210</v>
      </c>
      <c r="E71" s="41" t="s">
        <v>1211</v>
      </c>
      <c r="F71" s="41" t="s">
        <v>1212</v>
      </c>
      <c r="G71" s="71" t="s">
        <v>1213</v>
      </c>
      <c r="H71" s="64"/>
      <c r="I71" s="49" t="s">
        <v>1041</v>
      </c>
      <c r="J71" s="231" t="s">
        <v>45</v>
      </c>
      <c r="K71" s="233"/>
    </row>
    <row r="72" spans="1:11" ht="90">
      <c r="A72" s="187"/>
      <c r="B72" s="187"/>
      <c r="C72" s="63" t="s">
        <v>1214</v>
      </c>
      <c r="D72" s="41" t="s">
        <v>1215</v>
      </c>
      <c r="E72" s="41" t="s">
        <v>1216</v>
      </c>
      <c r="F72" s="41" t="s">
        <v>1217</v>
      </c>
      <c r="G72" s="71" t="s">
        <v>1218</v>
      </c>
      <c r="H72" s="64"/>
      <c r="I72" s="49" t="s">
        <v>51</v>
      </c>
      <c r="J72" s="231" t="s">
        <v>45</v>
      </c>
      <c r="K72" s="233"/>
    </row>
    <row r="73" spans="1:11" ht="45">
      <c r="A73" s="187"/>
      <c r="B73" s="187"/>
      <c r="C73" s="63" t="s">
        <v>1219</v>
      </c>
      <c r="D73" s="41" t="s">
        <v>1220</v>
      </c>
      <c r="E73" s="41" t="s">
        <v>1221</v>
      </c>
      <c r="F73" s="41" t="s">
        <v>1222</v>
      </c>
      <c r="G73" s="71" t="s">
        <v>1223</v>
      </c>
      <c r="H73" s="64"/>
      <c r="I73" s="49" t="s">
        <v>44</v>
      </c>
      <c r="J73" s="231" t="s">
        <v>45</v>
      </c>
      <c r="K73" s="233"/>
    </row>
    <row r="74" spans="1:11" ht="45">
      <c r="A74" s="187"/>
      <c r="B74" s="187"/>
      <c r="C74" s="63" t="s">
        <v>1224</v>
      </c>
      <c r="D74" s="41" t="s">
        <v>1225</v>
      </c>
      <c r="E74" s="41" t="s">
        <v>1226</v>
      </c>
      <c r="F74" s="41" t="s">
        <v>1227</v>
      </c>
      <c r="G74" s="71" t="s">
        <v>1228</v>
      </c>
      <c r="H74" s="64"/>
      <c r="I74" s="49" t="s">
        <v>290</v>
      </c>
      <c r="J74" s="231" t="s">
        <v>45</v>
      </c>
      <c r="K74" s="233"/>
    </row>
    <row r="75" spans="1:11" ht="60">
      <c r="A75" s="187"/>
      <c r="B75" s="187"/>
      <c r="C75" s="63" t="s">
        <v>1229</v>
      </c>
      <c r="D75" s="41" t="s">
        <v>1230</v>
      </c>
      <c r="E75" s="41" t="s">
        <v>1231</v>
      </c>
      <c r="F75" s="41" t="s">
        <v>1232</v>
      </c>
      <c r="G75" s="71" t="s">
        <v>1233</v>
      </c>
      <c r="H75" s="64"/>
      <c r="I75" s="49" t="s">
        <v>44</v>
      </c>
      <c r="J75" s="231" t="s">
        <v>45</v>
      </c>
      <c r="K75" s="233"/>
    </row>
    <row r="76" spans="1:11" ht="45">
      <c r="A76" s="187"/>
      <c r="B76" s="187"/>
      <c r="C76" s="63" t="s">
        <v>1234</v>
      </c>
      <c r="D76" s="41" t="s">
        <v>1235</v>
      </c>
      <c r="E76" s="41" t="s">
        <v>1236</v>
      </c>
      <c r="F76" s="41" t="s">
        <v>1237</v>
      </c>
      <c r="G76" s="71" t="s">
        <v>1238</v>
      </c>
      <c r="H76" s="64"/>
      <c r="I76" s="49" t="s">
        <v>44</v>
      </c>
      <c r="J76" s="231" t="s">
        <v>45</v>
      </c>
      <c r="K76" s="233"/>
    </row>
    <row r="77" spans="1:11" ht="75">
      <c r="A77" s="187"/>
      <c r="B77" s="187"/>
      <c r="C77" s="63" t="s">
        <v>1239</v>
      </c>
      <c r="D77" s="41" t="s">
        <v>1240</v>
      </c>
      <c r="E77" s="41" t="s">
        <v>991</v>
      </c>
      <c r="F77" s="41" t="s">
        <v>1241</v>
      </c>
      <c r="G77" s="71" t="s">
        <v>1242</v>
      </c>
      <c r="H77" s="64"/>
      <c r="I77" s="49" t="s">
        <v>44</v>
      </c>
      <c r="J77" s="231" t="s">
        <v>45</v>
      </c>
      <c r="K77" s="233"/>
    </row>
    <row r="78" spans="1:11" ht="45">
      <c r="A78" s="187"/>
      <c r="B78" s="187"/>
      <c r="C78" s="63" t="s">
        <v>1243</v>
      </c>
      <c r="D78" s="41" t="s">
        <v>1244</v>
      </c>
      <c r="E78" s="41" t="s">
        <v>1245</v>
      </c>
      <c r="F78" s="41" t="s">
        <v>1246</v>
      </c>
      <c r="G78" s="71" t="s">
        <v>1247</v>
      </c>
      <c r="H78" s="64"/>
      <c r="I78" s="49" t="s">
        <v>290</v>
      </c>
      <c r="J78" s="231" t="s">
        <v>45</v>
      </c>
      <c r="K78" s="233"/>
    </row>
    <row r="79" spans="1:11" ht="45">
      <c r="A79" s="188"/>
      <c r="B79" s="188"/>
      <c r="C79" s="63" t="s">
        <v>1248</v>
      </c>
      <c r="D79" s="41" t="s">
        <v>1249</v>
      </c>
      <c r="E79" s="41" t="s">
        <v>1250</v>
      </c>
      <c r="F79" s="41" t="s">
        <v>1251</v>
      </c>
      <c r="G79" s="71" t="s">
        <v>1252</v>
      </c>
      <c r="H79" s="64"/>
      <c r="I79" s="49" t="s">
        <v>51</v>
      </c>
      <c r="J79" s="231" t="s">
        <v>45</v>
      </c>
      <c r="K79" s="233"/>
    </row>
    <row r="80" spans="1:11" ht="90">
      <c r="A80" s="186" t="s">
        <v>1253</v>
      </c>
      <c r="B80" s="19" t="s">
        <v>1254</v>
      </c>
      <c r="C80" s="63" t="s">
        <v>1255</v>
      </c>
      <c r="D80" s="19" t="s">
        <v>1256</v>
      </c>
      <c r="E80" s="19" t="s">
        <v>1257</v>
      </c>
      <c r="F80" s="19" t="s">
        <v>1258</v>
      </c>
      <c r="G80" s="19" t="s">
        <v>1259</v>
      </c>
      <c r="H80" s="28"/>
      <c r="I80" s="25" t="s">
        <v>89</v>
      </c>
      <c r="J80" s="231" t="s">
        <v>45</v>
      </c>
      <c r="K80" s="233"/>
    </row>
    <row r="81" spans="1:11" ht="90">
      <c r="A81" s="187"/>
      <c r="B81" s="19" t="s">
        <v>1260</v>
      </c>
      <c r="C81" s="63" t="s">
        <v>1261</v>
      </c>
      <c r="D81" s="19" t="s">
        <v>1262</v>
      </c>
      <c r="E81" s="19" t="s">
        <v>1263</v>
      </c>
      <c r="F81" s="19" t="s">
        <v>1264</v>
      </c>
      <c r="G81" s="19" t="s">
        <v>1265</v>
      </c>
      <c r="H81" s="28"/>
      <c r="I81" s="25" t="s">
        <v>89</v>
      </c>
      <c r="J81" s="231" t="s">
        <v>45</v>
      </c>
      <c r="K81" s="233"/>
    </row>
    <row r="82" spans="1:11" ht="72">
      <c r="A82" s="187"/>
      <c r="B82" s="19" t="s">
        <v>1266</v>
      </c>
      <c r="C82" s="63" t="s">
        <v>1267</v>
      </c>
      <c r="D82" s="19" t="s">
        <v>1268</v>
      </c>
      <c r="E82" s="19" t="s">
        <v>1269</v>
      </c>
      <c r="F82" s="19" t="s">
        <v>1270</v>
      </c>
      <c r="G82" s="19" t="s">
        <v>1271</v>
      </c>
      <c r="H82" s="28"/>
      <c r="I82" s="25" t="s">
        <v>89</v>
      </c>
      <c r="J82" s="231" t="s">
        <v>45</v>
      </c>
      <c r="K82" s="233"/>
    </row>
    <row r="83" spans="1:11" ht="108">
      <c r="A83" s="187"/>
      <c r="B83" s="19" t="s">
        <v>1272</v>
      </c>
      <c r="C83" s="63" t="s">
        <v>1273</v>
      </c>
      <c r="D83" s="19" t="s">
        <v>1274</v>
      </c>
      <c r="E83" s="19" t="s">
        <v>1275</v>
      </c>
      <c r="F83" s="19" t="s">
        <v>1276</v>
      </c>
      <c r="G83" s="19" t="s">
        <v>1277</v>
      </c>
      <c r="H83" s="28"/>
      <c r="I83" s="25" t="s">
        <v>89</v>
      </c>
      <c r="J83" s="231" t="s">
        <v>45</v>
      </c>
      <c r="K83" s="233"/>
    </row>
    <row r="84" spans="1:11" ht="90">
      <c r="A84" s="188"/>
      <c r="B84" s="19" t="s">
        <v>1278</v>
      </c>
      <c r="C84" s="63" t="s">
        <v>1279</v>
      </c>
      <c r="D84" s="19" t="s">
        <v>1280</v>
      </c>
      <c r="E84" s="19" t="s">
        <v>1281</v>
      </c>
      <c r="F84" s="19" t="s">
        <v>1282</v>
      </c>
      <c r="G84" s="19" t="s">
        <v>1283</v>
      </c>
      <c r="H84" s="28"/>
      <c r="I84" s="25" t="s">
        <v>89</v>
      </c>
      <c r="J84" s="231" t="s">
        <v>45</v>
      </c>
      <c r="K84" s="233"/>
    </row>
  </sheetData>
  <mergeCells count="23">
    <mergeCell ref="B64:B79"/>
    <mergeCell ref="B19:B28"/>
    <mergeCell ref="B7:D7"/>
    <mergeCell ref="A8:A9"/>
    <mergeCell ref="B1:D1"/>
    <mergeCell ref="B2:D2"/>
    <mergeCell ref="B3:D3"/>
    <mergeCell ref="B4:D4"/>
    <mergeCell ref="B5:D5"/>
    <mergeCell ref="B6:D6"/>
    <mergeCell ref="B11:B13"/>
    <mergeCell ref="B14:B18"/>
    <mergeCell ref="B29:B50"/>
    <mergeCell ref="B59:B63"/>
    <mergeCell ref="B51:B58"/>
    <mergeCell ref="A59:A63"/>
    <mergeCell ref="A64:A79"/>
    <mergeCell ref="A80:A84"/>
    <mergeCell ref="A14:A18"/>
    <mergeCell ref="A11:A13"/>
    <mergeCell ref="A19:A28"/>
    <mergeCell ref="A29:A50"/>
    <mergeCell ref="A51:A58"/>
  </mergeCells>
  <conditionalFormatting sqref="J11:J84">
    <cfRule type="containsText" dxfId="18" priority="1" operator="containsText" text="OPEN/PENDING">
      <formula>NOT(ISERROR(SEARCH("OPEN/PENDING",J11)))</formula>
    </cfRule>
    <cfRule type="containsText" dxfId="17" priority="2" operator="containsText" text="FAIL">
      <formula>NOT(ISERROR(SEARCH("FAIL",J11)))</formula>
    </cfRule>
    <cfRule type="containsText" dxfId="16" priority="3" operator="containsText" text="PASS">
      <formula>NOT(ISERROR(SEARCH("PASS",J11)))</formula>
    </cfRule>
  </conditionalFormatting>
  <dataValidations count="1">
    <dataValidation type="list" allowBlank="1" showInputMessage="1" showErrorMessage="1" sqref="J11:J84" xr:uid="{FC892B60-0699-4ECC-96B3-6DECFAE009D8}">
      <formula1>"PASS, FAIL, OPEN,PENDING"</formula1>
    </dataValidation>
  </dataValidations>
  <hyperlinks>
    <hyperlink ref="B2:D2" r:id="rId1" display="https://becamexcomvn.sharepoint.com/sites/SmartPole/Shared%20Documents/Forms/AllItems.aspx?id=%2Fsites%2FSmartPole%2FShared%20Documents%2FGeneral%2F3%5FTesting&amp;viewid=bd6ecf16%2Dd434%2D4481%2D9519%2D43b3d359c084" xr:uid="{1DAC822D-9EEC-4A27-9607-82529B6158BC}"/>
    <hyperlink ref="B3:D3" r:id="rId2" display="https://www.figma.com/design/K28cNHKzebkL6egcCCx7V9/Wireframes?node-id=8502-5790&amp;t=5S5lygNqwcVmAPta-0" xr:uid="{9ACB4734-E6C3-44D4-BDDB-49D21CB1326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A0B4-B89D-4186-A5CB-C1B232474DE0}">
  <dimension ref="A1:K34"/>
  <sheetViews>
    <sheetView topLeftCell="A10" workbookViewId="0">
      <selection activeCell="J10" sqref="A10:XFD10"/>
    </sheetView>
  </sheetViews>
  <sheetFormatPr defaultColWidth="8.85546875" defaultRowHeight="15"/>
  <cols>
    <col min="1" max="1" width="25.7109375" customWidth="1"/>
    <col min="2" max="2" width="19.140625" customWidth="1"/>
    <col min="3" max="3" width="21.42578125" customWidth="1"/>
    <col min="4" max="4" width="25.42578125" customWidth="1"/>
    <col min="5" max="5" width="27.140625" customWidth="1"/>
    <col min="6" max="8" width="37" customWidth="1"/>
    <col min="9" max="11" width="20.42578125" customWidth="1"/>
  </cols>
  <sheetData>
    <row r="1" spans="1:11" ht="36" hidden="1">
      <c r="A1" s="1" t="s">
        <v>439</v>
      </c>
      <c r="B1" s="192" t="s">
        <v>1284</v>
      </c>
      <c r="C1" s="192"/>
      <c r="D1" s="192"/>
      <c r="H1" s="14" t="s">
        <v>2</v>
      </c>
      <c r="I1" s="14" t="s">
        <v>3</v>
      </c>
      <c r="J1" s="14" t="s">
        <v>4</v>
      </c>
      <c r="K1" s="14" t="s">
        <v>5</v>
      </c>
    </row>
    <row r="2" spans="1:11" ht="42" hidden="1" customHeight="1">
      <c r="A2" s="2" t="s">
        <v>441</v>
      </c>
      <c r="B2" s="196"/>
      <c r="C2" s="196"/>
      <c r="D2" s="196"/>
    </row>
    <row r="3" spans="1:11" ht="42" hidden="1" customHeight="1">
      <c r="A3" s="1" t="s">
        <v>445</v>
      </c>
      <c r="B3" s="197"/>
      <c r="C3" s="197"/>
      <c r="D3" s="197"/>
    </row>
    <row r="4" spans="1:11" ht="42" hidden="1" customHeight="1">
      <c r="A4" s="1" t="s">
        <v>448</v>
      </c>
      <c r="B4" s="193" t="s">
        <v>15</v>
      </c>
      <c r="C4" s="193"/>
      <c r="D4" s="193"/>
    </row>
    <row r="5" spans="1:11" ht="42" hidden="1" customHeight="1">
      <c r="A5" s="1" t="s">
        <v>450</v>
      </c>
      <c r="B5" s="194">
        <v>45668</v>
      </c>
      <c r="C5" s="194"/>
      <c r="D5" s="194"/>
    </row>
    <row r="6" spans="1:11" ht="42" hidden="1" customHeight="1">
      <c r="A6" s="1" t="s">
        <v>451</v>
      </c>
      <c r="B6" s="195" t="s">
        <v>18</v>
      </c>
      <c r="C6" s="195"/>
      <c r="D6" s="195"/>
    </row>
    <row r="7" spans="1:11" ht="42" hidden="1" customHeight="1">
      <c r="A7" s="1" t="s">
        <v>452</v>
      </c>
      <c r="B7" s="189" t="s">
        <v>8</v>
      </c>
      <c r="C7" s="189"/>
      <c r="D7" s="189"/>
    </row>
    <row r="8" spans="1:11" ht="36" hidden="1">
      <c r="A8" s="190" t="s">
        <v>453</v>
      </c>
      <c r="B8" s="3" t="s">
        <v>454</v>
      </c>
      <c r="C8" s="4" t="s">
        <v>22</v>
      </c>
      <c r="D8" s="5" t="s">
        <v>23</v>
      </c>
    </row>
    <row r="9" spans="1:11" ht="17.100000000000001" hidden="1">
      <c r="A9" s="191"/>
      <c r="B9" s="6">
        <f>COUNTIF(J:J,"Pass")+COUNTIF(J:J,"Test Fail") +COUNTIF(J:J,"Open") + COUNTIF(J:J,"Pending") + COUNTIF(J:J,"Fixed")</f>
        <v>23</v>
      </c>
      <c r="C9" s="6">
        <f>COUNTIF(
J:J,"Pass")</f>
        <v>0</v>
      </c>
      <c r="D9" s="6">
        <f xml:space="preserve"> COUNTIF(
J:J,"Test Fail")</f>
        <v>0</v>
      </c>
    </row>
    <row r="10" spans="1:11" ht="17.100000000000001">
      <c r="A10" s="114"/>
      <c r="B10" s="120"/>
      <c r="C10" s="120"/>
      <c r="D10" s="120"/>
    </row>
    <row r="11" spans="1:11" ht="72">
      <c r="A11" s="7" t="s">
        <v>455</v>
      </c>
      <c r="B11" s="8" t="s">
        <v>456</v>
      </c>
      <c r="C11" s="8" t="s">
        <v>457</v>
      </c>
      <c r="D11" s="8" t="s">
        <v>458</v>
      </c>
      <c r="E11" s="9" t="s">
        <v>459</v>
      </c>
      <c r="F11" s="10" t="s">
        <v>460</v>
      </c>
      <c r="G11" s="11" t="s">
        <v>461</v>
      </c>
      <c r="H11" s="13" t="s">
        <v>462</v>
      </c>
      <c r="I11" s="7" t="s">
        <v>32</v>
      </c>
      <c r="J11" s="7" t="s">
        <v>463</v>
      </c>
      <c r="K11" s="8" t="s">
        <v>464</v>
      </c>
    </row>
    <row r="12" spans="1:11" ht="90">
      <c r="A12" s="19" t="s">
        <v>1285</v>
      </c>
      <c r="B12" s="19" t="s">
        <v>1286</v>
      </c>
      <c r="C12" s="19" t="s">
        <v>1287</v>
      </c>
      <c r="D12" s="19" t="s">
        <v>1288</v>
      </c>
      <c r="E12" s="19" t="s">
        <v>1289</v>
      </c>
      <c r="F12" s="19" t="s">
        <v>1290</v>
      </c>
      <c r="G12" s="19" t="s">
        <v>1291</v>
      </c>
      <c r="H12" s="19"/>
      <c r="I12" s="19" t="s">
        <v>108</v>
      </c>
      <c r="J12" s="160" t="s">
        <v>173</v>
      </c>
    </row>
    <row r="13" spans="1:11" ht="72">
      <c r="A13" s="19" t="s">
        <v>1285</v>
      </c>
      <c r="B13" s="19" t="s">
        <v>1286</v>
      </c>
      <c r="C13" s="19" t="s">
        <v>1292</v>
      </c>
      <c r="D13" s="19" t="s">
        <v>1293</v>
      </c>
      <c r="E13" s="19" t="s">
        <v>1294</v>
      </c>
      <c r="F13" s="19" t="s">
        <v>1295</v>
      </c>
      <c r="G13" s="19" t="s">
        <v>1296</v>
      </c>
      <c r="H13" s="19"/>
      <c r="I13" s="19" t="s">
        <v>1297</v>
      </c>
      <c r="J13" s="160" t="s">
        <v>173</v>
      </c>
    </row>
    <row r="14" spans="1:11" ht="144">
      <c r="A14" s="19" t="s">
        <v>1298</v>
      </c>
      <c r="B14" s="19" t="s">
        <v>1299</v>
      </c>
      <c r="C14" s="19" t="s">
        <v>1300</v>
      </c>
      <c r="D14" s="19" t="s">
        <v>1301</v>
      </c>
      <c r="E14" s="19" t="s">
        <v>1302</v>
      </c>
      <c r="F14" s="19" t="s">
        <v>1303</v>
      </c>
      <c r="G14" s="19" t="s">
        <v>1304</v>
      </c>
      <c r="H14" s="19"/>
      <c r="I14" s="19" t="s">
        <v>51</v>
      </c>
      <c r="J14" s="160" t="s">
        <v>173</v>
      </c>
    </row>
    <row r="15" spans="1:11" ht="72">
      <c r="A15" s="19" t="s">
        <v>1298</v>
      </c>
      <c r="B15" s="19" t="s">
        <v>1305</v>
      </c>
      <c r="C15" s="19" t="s">
        <v>1306</v>
      </c>
      <c r="D15" s="19" t="s">
        <v>1307</v>
      </c>
      <c r="E15" s="19" t="s">
        <v>1308</v>
      </c>
      <c r="F15" s="19" t="s">
        <v>1309</v>
      </c>
      <c r="G15" s="19" t="s">
        <v>1310</v>
      </c>
      <c r="H15" s="19"/>
      <c r="I15" s="19" t="s">
        <v>1297</v>
      </c>
      <c r="J15" s="160" t="s">
        <v>173</v>
      </c>
    </row>
    <row r="16" spans="1:11" ht="90">
      <c r="A16" s="19" t="s">
        <v>1298</v>
      </c>
      <c r="B16" s="19" t="s">
        <v>1311</v>
      </c>
      <c r="C16" s="19" t="s">
        <v>1312</v>
      </c>
      <c r="D16" s="19" t="s">
        <v>1313</v>
      </c>
      <c r="E16" s="19" t="s">
        <v>1314</v>
      </c>
      <c r="F16" s="19" t="s">
        <v>1315</v>
      </c>
      <c r="G16" s="19" t="s">
        <v>1316</v>
      </c>
      <c r="H16" s="19"/>
      <c r="I16" s="19" t="s">
        <v>1297</v>
      </c>
      <c r="J16" s="160" t="s">
        <v>173</v>
      </c>
    </row>
    <row r="17" spans="1:10" ht="90">
      <c r="A17" s="19" t="s">
        <v>1298</v>
      </c>
      <c r="B17" s="19" t="s">
        <v>1317</v>
      </c>
      <c r="C17" s="19" t="s">
        <v>1318</v>
      </c>
      <c r="D17" s="19" t="s">
        <v>1319</v>
      </c>
      <c r="E17" s="19" t="s">
        <v>1320</v>
      </c>
      <c r="F17" s="19" t="s">
        <v>1321</v>
      </c>
      <c r="G17" s="19" t="s">
        <v>1322</v>
      </c>
      <c r="H17" s="19"/>
      <c r="I17" s="19" t="s">
        <v>56</v>
      </c>
      <c r="J17" s="160" t="s">
        <v>173</v>
      </c>
    </row>
    <row r="18" spans="1:10" ht="72">
      <c r="A18" s="19" t="s">
        <v>1298</v>
      </c>
      <c r="B18" s="19" t="s">
        <v>1323</v>
      </c>
      <c r="C18" s="19" t="s">
        <v>1324</v>
      </c>
      <c r="D18" s="19" t="s">
        <v>1325</v>
      </c>
      <c r="E18" s="19" t="s">
        <v>1326</v>
      </c>
      <c r="F18" s="19" t="s">
        <v>1327</v>
      </c>
      <c r="G18" s="19" t="s">
        <v>1328</v>
      </c>
      <c r="H18" s="19"/>
      <c r="I18" s="19" t="s">
        <v>1329</v>
      </c>
      <c r="J18" s="160" t="s">
        <v>173</v>
      </c>
    </row>
    <row r="19" spans="1:10" ht="90">
      <c r="A19" s="19" t="s">
        <v>1330</v>
      </c>
      <c r="B19" s="19" t="s">
        <v>1331</v>
      </c>
      <c r="C19" s="19" t="s">
        <v>1332</v>
      </c>
      <c r="D19" s="19" t="s">
        <v>1333</v>
      </c>
      <c r="E19" s="19" t="s">
        <v>1334</v>
      </c>
      <c r="F19" s="19" t="s">
        <v>1335</v>
      </c>
      <c r="G19" s="19" t="s">
        <v>1336</v>
      </c>
      <c r="H19" s="19"/>
      <c r="I19" s="19" t="s">
        <v>1297</v>
      </c>
      <c r="J19" s="160" t="s">
        <v>173</v>
      </c>
    </row>
    <row r="20" spans="1:10" ht="90">
      <c r="A20" s="19" t="s">
        <v>1330</v>
      </c>
      <c r="B20" s="19" t="s">
        <v>1337</v>
      </c>
      <c r="C20" s="19" t="s">
        <v>1338</v>
      </c>
      <c r="D20" s="19" t="s">
        <v>1339</v>
      </c>
      <c r="E20" s="19" t="s">
        <v>1340</v>
      </c>
      <c r="F20" s="19" t="s">
        <v>1341</v>
      </c>
      <c r="G20" s="19" t="s">
        <v>1342</v>
      </c>
      <c r="H20" s="19"/>
      <c r="I20" s="19" t="s">
        <v>1297</v>
      </c>
      <c r="J20" s="160" t="s">
        <v>173</v>
      </c>
    </row>
    <row r="21" spans="1:10" ht="108">
      <c r="A21" s="19" t="s">
        <v>1330</v>
      </c>
      <c r="B21" s="19" t="s">
        <v>1343</v>
      </c>
      <c r="C21" s="19" t="s">
        <v>1344</v>
      </c>
      <c r="D21" s="19" t="s">
        <v>1345</v>
      </c>
      <c r="E21" s="19" t="s">
        <v>1346</v>
      </c>
      <c r="F21" s="19" t="s">
        <v>1347</v>
      </c>
      <c r="G21" s="19" t="s">
        <v>1348</v>
      </c>
      <c r="H21" s="19"/>
      <c r="I21" s="19" t="s">
        <v>51</v>
      </c>
      <c r="J21" s="160" t="s">
        <v>173</v>
      </c>
    </row>
    <row r="22" spans="1:10" ht="72">
      <c r="A22" s="19" t="s">
        <v>1330</v>
      </c>
      <c r="B22" s="19" t="s">
        <v>1349</v>
      </c>
      <c r="C22" s="19" t="s">
        <v>1350</v>
      </c>
      <c r="D22" s="19" t="s">
        <v>1351</v>
      </c>
      <c r="E22" s="19" t="s">
        <v>1352</v>
      </c>
      <c r="F22" s="19" t="s">
        <v>1353</v>
      </c>
      <c r="G22" s="19" t="s">
        <v>1354</v>
      </c>
      <c r="H22" s="19"/>
      <c r="I22" s="19" t="s">
        <v>1355</v>
      </c>
      <c r="J22" s="160" t="s">
        <v>173</v>
      </c>
    </row>
    <row r="23" spans="1:10" ht="72">
      <c r="A23" s="19" t="s">
        <v>1330</v>
      </c>
      <c r="B23" s="19" t="s">
        <v>1356</v>
      </c>
      <c r="C23" s="19" t="s">
        <v>1357</v>
      </c>
      <c r="D23" s="19" t="s">
        <v>1358</v>
      </c>
      <c r="E23" s="19" t="s">
        <v>1359</v>
      </c>
      <c r="F23" s="19" t="s">
        <v>1360</v>
      </c>
      <c r="G23" s="19" t="s">
        <v>1361</v>
      </c>
      <c r="H23" s="19"/>
      <c r="I23" s="19" t="s">
        <v>56</v>
      </c>
      <c r="J23" s="160" t="s">
        <v>173</v>
      </c>
    </row>
    <row r="24" spans="1:10" ht="72">
      <c r="A24" s="19" t="s">
        <v>1362</v>
      </c>
      <c r="B24" s="19" t="s">
        <v>1363</v>
      </c>
      <c r="C24" s="19" t="s">
        <v>1364</v>
      </c>
      <c r="D24" s="19" t="s">
        <v>1365</v>
      </c>
      <c r="E24" s="19" t="s">
        <v>1366</v>
      </c>
      <c r="F24" s="19" t="s">
        <v>1367</v>
      </c>
      <c r="G24" s="19" t="s">
        <v>1368</v>
      </c>
      <c r="H24" s="19"/>
      <c r="I24" s="19" t="s">
        <v>1297</v>
      </c>
      <c r="J24" s="160" t="s">
        <v>173</v>
      </c>
    </row>
    <row r="25" spans="1:10" ht="129" customHeight="1">
      <c r="A25" s="19" t="s">
        <v>1362</v>
      </c>
      <c r="B25" s="19" t="s">
        <v>1369</v>
      </c>
      <c r="C25" s="19" t="s">
        <v>1370</v>
      </c>
      <c r="D25" s="19" t="s">
        <v>1371</v>
      </c>
      <c r="E25" s="19" t="s">
        <v>1372</v>
      </c>
      <c r="F25" s="19" t="s">
        <v>1373</v>
      </c>
      <c r="G25" s="19" t="s">
        <v>1374</v>
      </c>
      <c r="H25" s="19"/>
      <c r="I25" s="19" t="s">
        <v>1297</v>
      </c>
      <c r="J25" s="160" t="s">
        <v>173</v>
      </c>
    </row>
    <row r="26" spans="1:10" ht="90">
      <c r="A26" s="19" t="s">
        <v>1362</v>
      </c>
      <c r="B26" s="19" t="s">
        <v>1375</v>
      </c>
      <c r="C26" s="19" t="s">
        <v>1376</v>
      </c>
      <c r="D26" s="19" t="s">
        <v>1377</v>
      </c>
      <c r="E26" s="19" t="s">
        <v>1378</v>
      </c>
      <c r="F26" s="19" t="s">
        <v>1379</v>
      </c>
      <c r="G26" s="19" t="s">
        <v>1380</v>
      </c>
      <c r="H26" s="19"/>
      <c r="I26" s="19" t="s">
        <v>51</v>
      </c>
      <c r="J26" s="160" t="s">
        <v>173</v>
      </c>
    </row>
    <row r="27" spans="1:10" ht="72">
      <c r="A27" s="19" t="s">
        <v>1362</v>
      </c>
      <c r="B27" s="19" t="s">
        <v>1381</v>
      </c>
      <c r="C27" s="19" t="s">
        <v>1382</v>
      </c>
      <c r="D27" s="19" t="s">
        <v>1383</v>
      </c>
      <c r="E27" s="19" t="s">
        <v>1384</v>
      </c>
      <c r="F27" s="19" t="s">
        <v>1385</v>
      </c>
      <c r="G27" s="19" t="s">
        <v>1386</v>
      </c>
      <c r="H27" s="19"/>
      <c r="I27" s="19" t="s">
        <v>56</v>
      </c>
      <c r="J27" s="160" t="s">
        <v>173</v>
      </c>
    </row>
    <row r="28" spans="1:10" ht="72">
      <c r="A28" s="19" t="s">
        <v>1387</v>
      </c>
      <c r="B28" s="19" t="s">
        <v>1388</v>
      </c>
      <c r="C28" s="19" t="s">
        <v>1389</v>
      </c>
      <c r="D28" s="19" t="s">
        <v>1390</v>
      </c>
      <c r="E28" s="19" t="s">
        <v>1391</v>
      </c>
      <c r="F28" s="19" t="s">
        <v>1392</v>
      </c>
      <c r="G28" s="19" t="s">
        <v>1393</v>
      </c>
      <c r="H28" s="19"/>
      <c r="I28" s="19" t="s">
        <v>1297</v>
      </c>
      <c r="J28" s="160" t="s">
        <v>173</v>
      </c>
    </row>
    <row r="29" spans="1:10" ht="72">
      <c r="A29" s="19" t="s">
        <v>1387</v>
      </c>
      <c r="B29" s="19" t="s">
        <v>1394</v>
      </c>
      <c r="C29" s="19" t="s">
        <v>1395</v>
      </c>
      <c r="D29" s="19" t="s">
        <v>1396</v>
      </c>
      <c r="E29" s="19" t="s">
        <v>1397</v>
      </c>
      <c r="F29" s="19" t="s">
        <v>1398</v>
      </c>
      <c r="G29" s="19" t="s">
        <v>1399</v>
      </c>
      <c r="H29" s="19"/>
      <c r="I29" s="19" t="s">
        <v>1297</v>
      </c>
      <c r="J29" s="160" t="s">
        <v>173</v>
      </c>
    </row>
    <row r="30" spans="1:10" ht="126">
      <c r="A30" s="19" t="s">
        <v>1387</v>
      </c>
      <c r="B30" s="19" t="s">
        <v>1400</v>
      </c>
      <c r="C30" s="19" t="s">
        <v>1401</v>
      </c>
      <c r="D30" s="19" t="s">
        <v>1402</v>
      </c>
      <c r="E30" s="19" t="s">
        <v>1403</v>
      </c>
      <c r="F30" s="19" t="s">
        <v>1404</v>
      </c>
      <c r="G30" s="19" t="s">
        <v>1405</v>
      </c>
      <c r="H30" s="19"/>
      <c r="I30" s="19" t="s">
        <v>1297</v>
      </c>
      <c r="J30" s="160" t="s">
        <v>173</v>
      </c>
    </row>
    <row r="31" spans="1:10" ht="90">
      <c r="A31" s="19" t="s">
        <v>1387</v>
      </c>
      <c r="B31" s="19" t="s">
        <v>1406</v>
      </c>
      <c r="C31" s="19" t="s">
        <v>1407</v>
      </c>
      <c r="D31" s="19" t="s">
        <v>1408</v>
      </c>
      <c r="E31" s="19" t="s">
        <v>1409</v>
      </c>
      <c r="F31" s="19" t="s">
        <v>1410</v>
      </c>
      <c r="G31" s="19" t="s">
        <v>1411</v>
      </c>
      <c r="H31" s="19"/>
      <c r="I31" s="19" t="s">
        <v>1297</v>
      </c>
      <c r="J31" s="160" t="s">
        <v>173</v>
      </c>
    </row>
    <row r="32" spans="1:10" ht="108">
      <c r="A32" s="19" t="s">
        <v>1387</v>
      </c>
      <c r="B32" s="19" t="s">
        <v>1412</v>
      </c>
      <c r="C32" s="19" t="s">
        <v>1413</v>
      </c>
      <c r="D32" s="19" t="s">
        <v>1414</v>
      </c>
      <c r="E32" s="19" t="s">
        <v>1415</v>
      </c>
      <c r="F32" s="19" t="s">
        <v>1416</v>
      </c>
      <c r="G32" s="19" t="s">
        <v>1417</v>
      </c>
      <c r="H32" s="19"/>
      <c r="I32" s="19" t="s">
        <v>56</v>
      </c>
      <c r="J32" s="160" t="s">
        <v>173</v>
      </c>
    </row>
    <row r="33" spans="1:10" ht="108">
      <c r="A33" s="19" t="s">
        <v>1418</v>
      </c>
      <c r="B33" s="19" t="s">
        <v>1419</v>
      </c>
      <c r="C33" s="19" t="s">
        <v>1420</v>
      </c>
      <c r="D33" s="19" t="s">
        <v>1421</v>
      </c>
      <c r="E33" s="19" t="s">
        <v>1422</v>
      </c>
      <c r="F33" s="19" t="s">
        <v>1423</v>
      </c>
      <c r="G33" s="19" t="s">
        <v>1424</v>
      </c>
      <c r="H33" s="19"/>
      <c r="I33" s="19" t="s">
        <v>51</v>
      </c>
      <c r="J33" s="160" t="s">
        <v>173</v>
      </c>
    </row>
    <row r="34" spans="1:10" ht="108">
      <c r="A34" s="19" t="s">
        <v>1418</v>
      </c>
      <c r="B34" s="19" t="s">
        <v>1425</v>
      </c>
      <c r="C34" s="19" t="s">
        <v>1426</v>
      </c>
      <c r="D34" s="19" t="s">
        <v>1427</v>
      </c>
      <c r="E34" s="19" t="s">
        <v>1428</v>
      </c>
      <c r="F34" s="19" t="s">
        <v>1429</v>
      </c>
      <c r="G34" s="19" t="s">
        <v>1430</v>
      </c>
      <c r="H34" s="19"/>
      <c r="I34" s="19" t="s">
        <v>51</v>
      </c>
      <c r="J34" s="160" t="s">
        <v>173</v>
      </c>
    </row>
  </sheetData>
  <mergeCells count="8">
    <mergeCell ref="B7:D7"/>
    <mergeCell ref="A8:A9"/>
    <mergeCell ref="B1:D1"/>
    <mergeCell ref="B2:D2"/>
    <mergeCell ref="B3:D3"/>
    <mergeCell ref="B4:D4"/>
    <mergeCell ref="B5:D5"/>
    <mergeCell ref="B6:D6"/>
  </mergeCells>
  <conditionalFormatting sqref="J12:J34">
    <cfRule type="containsText" dxfId="15" priority="1" operator="containsText" text="OPEN/PENDING">
      <formula>NOT(ISERROR(SEARCH("OPEN/PENDING",J12)))</formula>
    </cfRule>
    <cfRule type="containsText" dxfId="14" priority="2" operator="containsText" text="FAIL">
      <formula>NOT(ISERROR(SEARCH("FAIL",J12)))</formula>
    </cfRule>
    <cfRule type="containsText" dxfId="13" priority="3" operator="containsText" text="PASS">
      <formula>NOT(ISERROR(SEARCH("PASS",J12)))</formula>
    </cfRule>
  </conditionalFormatting>
  <dataValidations count="1">
    <dataValidation type="list" allowBlank="1" showInputMessage="1" showErrorMessage="1" sqref="J12:J34" xr:uid="{71855177-73CA-40F0-ADBD-3C9905BB94F3}">
      <formula1>"PASS, FAIL, OPEN,PENDING"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4732-5A3D-4BD0-A74A-714B51E68732}">
  <dimension ref="A1:L73"/>
  <sheetViews>
    <sheetView workbookViewId="0">
      <selection activeCell="C9" sqref="C9:D9"/>
    </sheetView>
  </sheetViews>
  <sheetFormatPr defaultColWidth="8.85546875" defaultRowHeight="15"/>
  <cols>
    <col min="1" max="1" width="25.7109375" style="30" customWidth="1"/>
    <col min="2" max="2" width="24.7109375" customWidth="1"/>
    <col min="3" max="3" width="21.42578125" style="30" customWidth="1"/>
    <col min="4" max="4" width="25.42578125" customWidth="1"/>
    <col min="5" max="5" width="27.140625" customWidth="1"/>
    <col min="6" max="8" width="37" customWidth="1"/>
    <col min="9" max="9" width="22.28515625" style="30" customWidth="1"/>
    <col min="10" max="11" width="20.42578125" customWidth="1"/>
  </cols>
  <sheetData>
    <row r="1" spans="1:12" ht="36">
      <c r="A1" s="39" t="s">
        <v>439</v>
      </c>
      <c r="B1" s="192" t="s">
        <v>1431</v>
      </c>
      <c r="C1" s="192"/>
      <c r="D1" s="192"/>
      <c r="H1" s="14" t="s">
        <v>2</v>
      </c>
      <c r="I1" s="14" t="s">
        <v>3</v>
      </c>
      <c r="J1" s="14" t="s">
        <v>4</v>
      </c>
      <c r="K1" s="14" t="s">
        <v>5</v>
      </c>
    </row>
    <row r="2" spans="1:12" ht="42" customHeight="1">
      <c r="A2" s="37" t="s">
        <v>441</v>
      </c>
      <c r="B2" s="173" t="s">
        <v>7</v>
      </c>
      <c r="C2" s="174"/>
      <c r="D2" s="174"/>
    </row>
    <row r="3" spans="1:12" ht="42" customHeight="1">
      <c r="A3" s="39" t="s">
        <v>445</v>
      </c>
      <c r="B3" s="176" t="s">
        <v>13</v>
      </c>
      <c r="C3" s="177"/>
      <c r="D3" s="177"/>
    </row>
    <row r="4" spans="1:12" ht="42" customHeight="1">
      <c r="A4" s="39" t="s">
        <v>448</v>
      </c>
      <c r="B4" s="193" t="s">
        <v>15</v>
      </c>
      <c r="C4" s="193"/>
      <c r="D4" s="193"/>
    </row>
    <row r="5" spans="1:12" ht="42" customHeight="1">
      <c r="A5" s="39" t="s">
        <v>450</v>
      </c>
      <c r="B5" s="194">
        <v>45668</v>
      </c>
      <c r="C5" s="194"/>
      <c r="D5" s="194"/>
    </row>
    <row r="6" spans="1:12" ht="42" customHeight="1">
      <c r="A6" s="39" t="s">
        <v>451</v>
      </c>
      <c r="B6" s="195" t="s">
        <v>18</v>
      </c>
      <c r="C6" s="195"/>
      <c r="D6" s="195"/>
    </row>
    <row r="7" spans="1:12" ht="42" customHeight="1">
      <c r="A7" s="39" t="s">
        <v>452</v>
      </c>
      <c r="B7" s="189" t="s">
        <v>8</v>
      </c>
      <c r="C7" s="189"/>
      <c r="D7" s="189"/>
    </row>
    <row r="8" spans="1:12" ht="36">
      <c r="A8" s="190" t="s">
        <v>453</v>
      </c>
      <c r="B8" s="3" t="s">
        <v>454</v>
      </c>
      <c r="C8" s="4" t="s">
        <v>22</v>
      </c>
      <c r="D8" s="5" t="s">
        <v>23</v>
      </c>
    </row>
    <row r="9" spans="1:12" ht="17.100000000000001">
      <c r="A9" s="191"/>
      <c r="B9" s="6">
        <f>COUNTIF(J:J,"Pass")+COUNTIF(J:J,"Test Fail") +COUNTIF(J:J,"Open") + COUNTIF(J:J,"Pending") + COUNTIF(J:J,"Fixed")</f>
        <v>62</v>
      </c>
      <c r="C9" s="6">
        <f>COUNTIF(
J:J,"Pass")</f>
        <v>48</v>
      </c>
      <c r="D9" s="6">
        <f xml:space="preserve"> COUNTIF(
J:J,"Test Fail")</f>
        <v>0</v>
      </c>
    </row>
    <row r="10" spans="1:12" ht="54.75" customHeight="1">
      <c r="A10" s="7" t="s">
        <v>455</v>
      </c>
      <c r="B10" s="8" t="s">
        <v>456</v>
      </c>
      <c r="C10" s="8" t="s">
        <v>457</v>
      </c>
      <c r="D10" s="8" t="s">
        <v>458</v>
      </c>
      <c r="E10" s="9" t="s">
        <v>459</v>
      </c>
      <c r="F10" s="10" t="s">
        <v>460</v>
      </c>
      <c r="G10" s="11" t="s">
        <v>461</v>
      </c>
      <c r="H10" s="13" t="s">
        <v>462</v>
      </c>
      <c r="I10" s="7" t="s">
        <v>32</v>
      </c>
      <c r="J10" s="7" t="s">
        <v>463</v>
      </c>
      <c r="K10" s="8" t="s">
        <v>464</v>
      </c>
      <c r="L10" s="12" t="s">
        <v>35</v>
      </c>
    </row>
    <row r="11" spans="1:12" ht="170.25" customHeight="1">
      <c r="A11" s="238" t="s">
        <v>1432</v>
      </c>
      <c r="B11" s="238" t="s">
        <v>1433</v>
      </c>
      <c r="C11" s="97" t="s">
        <v>1434</v>
      </c>
      <c r="D11" s="97" t="s">
        <v>1435</v>
      </c>
      <c r="E11" s="97" t="s">
        <v>1436</v>
      </c>
      <c r="F11" s="97" t="s">
        <v>1437</v>
      </c>
      <c r="G11" s="239" t="s">
        <v>1438</v>
      </c>
      <c r="H11" s="97" t="s">
        <v>43</v>
      </c>
      <c r="I11" s="97" t="s">
        <v>51</v>
      </c>
      <c r="J11" s="160" t="s">
        <v>45</v>
      </c>
      <c r="K11" s="97" t="s">
        <v>43</v>
      </c>
      <c r="L11" s="19" t="s">
        <v>473</v>
      </c>
    </row>
    <row r="12" spans="1:12" ht="75">
      <c r="A12" s="240"/>
      <c r="B12" s="240"/>
      <c r="C12" s="97" t="s">
        <v>1439</v>
      </c>
      <c r="D12" s="97" t="s">
        <v>1440</v>
      </c>
      <c r="E12" s="97" t="s">
        <v>1441</v>
      </c>
      <c r="F12" s="97" t="s">
        <v>1442</v>
      </c>
      <c r="G12" s="239" t="s">
        <v>1443</v>
      </c>
      <c r="H12" s="97" t="s">
        <v>43</v>
      </c>
      <c r="I12" s="97" t="s">
        <v>51</v>
      </c>
      <c r="J12" s="160" t="s">
        <v>45</v>
      </c>
      <c r="K12" s="97" t="s">
        <v>43</v>
      </c>
      <c r="L12" s="19"/>
    </row>
    <row r="13" spans="1:12" ht="45">
      <c r="A13" s="238" t="s">
        <v>1444</v>
      </c>
      <c r="B13" s="238" t="s">
        <v>1445</v>
      </c>
      <c r="C13" s="97" t="s">
        <v>1446</v>
      </c>
      <c r="D13" s="97" t="s">
        <v>1447</v>
      </c>
      <c r="E13" s="97" t="s">
        <v>1441</v>
      </c>
      <c r="F13" s="97" t="s">
        <v>1448</v>
      </c>
      <c r="G13" s="239" t="s">
        <v>1449</v>
      </c>
      <c r="H13" s="97" t="s">
        <v>43</v>
      </c>
      <c r="I13" s="97" t="s">
        <v>51</v>
      </c>
      <c r="J13" s="160" t="s">
        <v>45</v>
      </c>
      <c r="K13" s="97" t="s">
        <v>43</v>
      </c>
      <c r="L13" s="19"/>
    </row>
    <row r="14" spans="1:12" ht="60">
      <c r="A14" s="241"/>
      <c r="B14" s="241"/>
      <c r="C14" s="97" t="s">
        <v>1450</v>
      </c>
      <c r="D14" s="97" t="s">
        <v>1451</v>
      </c>
      <c r="E14" s="97" t="s">
        <v>1441</v>
      </c>
      <c r="F14" s="97" t="s">
        <v>1452</v>
      </c>
      <c r="G14" s="239" t="s">
        <v>1453</v>
      </c>
      <c r="H14" s="97" t="s">
        <v>43</v>
      </c>
      <c r="I14" s="97" t="s">
        <v>51</v>
      </c>
      <c r="J14" s="160" t="s">
        <v>45</v>
      </c>
      <c r="K14" s="97" t="s">
        <v>1454</v>
      </c>
      <c r="L14" s="19"/>
    </row>
    <row r="15" spans="1:12" ht="60">
      <c r="A15" s="241"/>
      <c r="B15" s="241"/>
      <c r="C15" s="97" t="s">
        <v>1455</v>
      </c>
      <c r="D15" s="97" t="s">
        <v>1456</v>
      </c>
      <c r="E15" s="97" t="s">
        <v>1441</v>
      </c>
      <c r="F15" s="97" t="s">
        <v>1457</v>
      </c>
      <c r="G15" s="239" t="s">
        <v>1458</v>
      </c>
      <c r="H15" s="97" t="s">
        <v>43</v>
      </c>
      <c r="I15" s="97" t="s">
        <v>1041</v>
      </c>
      <c r="J15" s="160" t="s">
        <v>45</v>
      </c>
      <c r="K15" s="97" t="s">
        <v>1459</v>
      </c>
      <c r="L15" s="19"/>
    </row>
    <row r="16" spans="1:12" ht="60">
      <c r="A16" s="240"/>
      <c r="B16" s="240"/>
      <c r="C16" s="97" t="s">
        <v>1460</v>
      </c>
      <c r="D16" s="97" t="s">
        <v>1461</v>
      </c>
      <c r="E16" s="97" t="s">
        <v>1462</v>
      </c>
      <c r="F16" s="97" t="s">
        <v>1463</v>
      </c>
      <c r="G16" s="239" t="s">
        <v>1464</v>
      </c>
      <c r="H16" s="97" t="s">
        <v>43</v>
      </c>
      <c r="I16" s="97" t="s">
        <v>51</v>
      </c>
      <c r="J16" s="160" t="s">
        <v>45</v>
      </c>
      <c r="K16" s="97" t="s">
        <v>43</v>
      </c>
      <c r="L16" s="19"/>
    </row>
    <row r="17" spans="1:12" ht="60">
      <c r="A17" s="238" t="s">
        <v>1465</v>
      </c>
      <c r="B17" s="238" t="s">
        <v>1466</v>
      </c>
      <c r="C17" s="97" t="s">
        <v>1467</v>
      </c>
      <c r="D17" s="97" t="s">
        <v>1468</v>
      </c>
      <c r="E17" s="97" t="s">
        <v>1469</v>
      </c>
      <c r="F17" s="97" t="s">
        <v>1470</v>
      </c>
      <c r="G17" s="239" t="s">
        <v>1471</v>
      </c>
      <c r="H17" s="97" t="s">
        <v>43</v>
      </c>
      <c r="I17" s="97" t="s">
        <v>51</v>
      </c>
      <c r="J17" s="160" t="s">
        <v>45</v>
      </c>
      <c r="K17" s="97" t="s">
        <v>43</v>
      </c>
      <c r="L17" s="19"/>
    </row>
    <row r="18" spans="1:12" ht="45">
      <c r="A18" s="241"/>
      <c r="B18" s="241"/>
      <c r="C18" s="97" t="s">
        <v>1472</v>
      </c>
      <c r="D18" s="97" t="s">
        <v>1473</v>
      </c>
      <c r="E18" s="97" t="s">
        <v>1474</v>
      </c>
      <c r="F18" s="97" t="s">
        <v>1475</v>
      </c>
      <c r="G18" s="239" t="s">
        <v>1476</v>
      </c>
      <c r="H18" s="97" t="s">
        <v>43</v>
      </c>
      <c r="I18" s="97" t="s">
        <v>51</v>
      </c>
      <c r="J18" s="160" t="s">
        <v>45</v>
      </c>
      <c r="K18" s="97" t="s">
        <v>1477</v>
      </c>
      <c r="L18" s="19"/>
    </row>
    <row r="19" spans="1:12" ht="75">
      <c r="A19" s="241"/>
      <c r="B19" s="241"/>
      <c r="C19" s="97" t="s">
        <v>1478</v>
      </c>
      <c r="D19" s="97" t="s">
        <v>1479</v>
      </c>
      <c r="E19" s="97" t="s">
        <v>1480</v>
      </c>
      <c r="F19" s="97" t="s">
        <v>1481</v>
      </c>
      <c r="G19" s="239" t="s">
        <v>1482</v>
      </c>
      <c r="H19" s="97" t="s">
        <v>43</v>
      </c>
      <c r="I19" s="97" t="s">
        <v>51</v>
      </c>
      <c r="J19" s="160" t="s">
        <v>45</v>
      </c>
      <c r="K19" s="97"/>
      <c r="L19" s="19"/>
    </row>
    <row r="20" spans="1:12" ht="60">
      <c r="A20" s="241"/>
      <c r="B20" s="241"/>
      <c r="C20" s="97" t="s">
        <v>1483</v>
      </c>
      <c r="D20" s="97" t="s">
        <v>1484</v>
      </c>
      <c r="E20" s="97" t="s">
        <v>1485</v>
      </c>
      <c r="F20" s="97" t="s">
        <v>1486</v>
      </c>
      <c r="G20" s="239" t="s">
        <v>1487</v>
      </c>
      <c r="H20" s="97" t="s">
        <v>43</v>
      </c>
      <c r="I20" s="97" t="s">
        <v>51</v>
      </c>
      <c r="J20" s="160" t="s">
        <v>45</v>
      </c>
      <c r="K20" s="97" t="s">
        <v>43</v>
      </c>
      <c r="L20" s="19"/>
    </row>
    <row r="21" spans="1:12" ht="75">
      <c r="A21" s="241"/>
      <c r="B21" s="241"/>
      <c r="C21" s="97" t="s">
        <v>1488</v>
      </c>
      <c r="D21" s="97" t="s">
        <v>1489</v>
      </c>
      <c r="E21" s="97" t="s">
        <v>1490</v>
      </c>
      <c r="F21" s="97" t="s">
        <v>1491</v>
      </c>
      <c r="G21" s="239" t="s">
        <v>1492</v>
      </c>
      <c r="H21" s="97" t="s">
        <v>43</v>
      </c>
      <c r="I21" s="97" t="s">
        <v>51</v>
      </c>
      <c r="J21" s="160" t="s">
        <v>45</v>
      </c>
      <c r="K21" s="97" t="s">
        <v>43</v>
      </c>
      <c r="L21" s="19"/>
    </row>
    <row r="22" spans="1:12" ht="60">
      <c r="A22" s="241"/>
      <c r="B22" s="241"/>
      <c r="C22" s="97" t="s">
        <v>1493</v>
      </c>
      <c r="D22" s="97" t="s">
        <v>1494</v>
      </c>
      <c r="E22" s="97" t="s">
        <v>1495</v>
      </c>
      <c r="F22" s="97" t="s">
        <v>1496</v>
      </c>
      <c r="G22" s="239" t="s">
        <v>1497</v>
      </c>
      <c r="H22" s="97" t="s">
        <v>43</v>
      </c>
      <c r="I22" s="97" t="s">
        <v>51</v>
      </c>
      <c r="J22" s="160" t="s">
        <v>45</v>
      </c>
      <c r="K22" s="97" t="s">
        <v>43</v>
      </c>
      <c r="L22" s="19"/>
    </row>
    <row r="23" spans="1:12" ht="197.25" customHeight="1">
      <c r="A23" s="240"/>
      <c r="B23" s="240"/>
      <c r="C23" s="97" t="s">
        <v>1498</v>
      </c>
      <c r="D23" s="97" t="s">
        <v>1499</v>
      </c>
      <c r="E23" s="97" t="s">
        <v>1500</v>
      </c>
      <c r="F23" s="97" t="s">
        <v>1501</v>
      </c>
      <c r="G23" s="239" t="s">
        <v>1502</v>
      </c>
      <c r="H23" s="97" t="s">
        <v>43</v>
      </c>
      <c r="I23" s="97" t="s">
        <v>51</v>
      </c>
      <c r="J23" s="160" t="s">
        <v>45</v>
      </c>
      <c r="K23" s="97" t="s">
        <v>43</v>
      </c>
      <c r="L23" s="19"/>
    </row>
    <row r="24" spans="1:12" ht="100.5" customHeight="1">
      <c r="A24" s="238" t="s">
        <v>1503</v>
      </c>
      <c r="B24" s="238" t="s">
        <v>1504</v>
      </c>
      <c r="C24" s="97" t="s">
        <v>1505</v>
      </c>
      <c r="D24" s="97" t="s">
        <v>1506</v>
      </c>
      <c r="E24" s="97" t="s">
        <v>1507</v>
      </c>
      <c r="F24" s="97" t="s">
        <v>1508</v>
      </c>
      <c r="G24" s="239" t="s">
        <v>1509</v>
      </c>
      <c r="H24" s="97" t="s">
        <v>43</v>
      </c>
      <c r="I24" s="97" t="s">
        <v>44</v>
      </c>
      <c r="J24" s="160" t="s">
        <v>45</v>
      </c>
      <c r="K24" s="97" t="s">
        <v>43</v>
      </c>
      <c r="L24" s="19"/>
    </row>
    <row r="25" spans="1:12" ht="100.5" customHeight="1">
      <c r="A25" s="241"/>
      <c r="B25" s="241"/>
      <c r="C25" s="97" t="s">
        <v>1510</v>
      </c>
      <c r="D25" s="97" t="s">
        <v>1511</v>
      </c>
      <c r="E25" s="97" t="s">
        <v>1512</v>
      </c>
      <c r="F25" s="97" t="s">
        <v>1513</v>
      </c>
      <c r="G25" s="239" t="s">
        <v>1514</v>
      </c>
      <c r="H25" s="97" t="s">
        <v>43</v>
      </c>
      <c r="I25" s="97" t="s">
        <v>44</v>
      </c>
      <c r="J25" s="160" t="s">
        <v>45</v>
      </c>
      <c r="K25" s="97" t="s">
        <v>43</v>
      </c>
      <c r="L25" s="19"/>
    </row>
    <row r="26" spans="1:12" ht="100.5" customHeight="1">
      <c r="A26" s="241"/>
      <c r="B26" s="241"/>
      <c r="C26" s="97" t="s">
        <v>1515</v>
      </c>
      <c r="D26" s="97" t="s">
        <v>1516</v>
      </c>
      <c r="E26" s="97" t="s">
        <v>1512</v>
      </c>
      <c r="F26" s="97" t="s">
        <v>1517</v>
      </c>
      <c r="G26" s="239" t="s">
        <v>1518</v>
      </c>
      <c r="H26" s="97" t="s">
        <v>43</v>
      </c>
      <c r="I26" s="97" t="s">
        <v>51</v>
      </c>
      <c r="J26" s="160" t="s">
        <v>45</v>
      </c>
      <c r="K26" s="97" t="s">
        <v>43</v>
      </c>
      <c r="L26" s="19"/>
    </row>
    <row r="27" spans="1:12" ht="45">
      <c r="A27" s="241"/>
      <c r="B27" s="241"/>
      <c r="C27" s="97" t="s">
        <v>1519</v>
      </c>
      <c r="D27" s="97" t="s">
        <v>1520</v>
      </c>
      <c r="E27" s="97" t="s">
        <v>1521</v>
      </c>
      <c r="F27" s="97" t="s">
        <v>1522</v>
      </c>
      <c r="G27" s="239" t="s">
        <v>1523</v>
      </c>
      <c r="H27" s="97" t="s">
        <v>43</v>
      </c>
      <c r="I27" s="97" t="s">
        <v>44</v>
      </c>
      <c r="J27" s="160" t="s">
        <v>45</v>
      </c>
      <c r="K27" s="97" t="s">
        <v>43</v>
      </c>
      <c r="L27" s="19"/>
    </row>
    <row r="28" spans="1:12" ht="114.75" customHeight="1">
      <c r="A28" s="241"/>
      <c r="B28" s="241"/>
      <c r="C28" s="97" t="s">
        <v>1524</v>
      </c>
      <c r="D28" s="97" t="s">
        <v>1525</v>
      </c>
      <c r="E28" s="97" t="s">
        <v>1512</v>
      </c>
      <c r="F28" s="97" t="s">
        <v>1526</v>
      </c>
      <c r="G28" s="239" t="s">
        <v>1527</v>
      </c>
      <c r="H28" s="97" t="s">
        <v>43</v>
      </c>
      <c r="I28" s="97" t="s">
        <v>1528</v>
      </c>
      <c r="J28" s="160" t="s">
        <v>45</v>
      </c>
      <c r="K28" s="97" t="s">
        <v>43</v>
      </c>
      <c r="L28" s="19"/>
    </row>
    <row r="29" spans="1:12" ht="117.75" customHeight="1">
      <c r="A29" s="241"/>
      <c r="B29" s="241"/>
      <c r="C29" s="97" t="s">
        <v>1529</v>
      </c>
      <c r="D29" s="97" t="s">
        <v>1530</v>
      </c>
      <c r="E29" s="97" t="s">
        <v>1531</v>
      </c>
      <c r="F29" s="97" t="s">
        <v>1532</v>
      </c>
      <c r="G29" s="239" t="s">
        <v>1533</v>
      </c>
      <c r="H29" s="97" t="s">
        <v>43</v>
      </c>
      <c r="I29" s="97" t="s">
        <v>51</v>
      </c>
      <c r="J29" s="160" t="s">
        <v>45</v>
      </c>
      <c r="K29" s="97" t="s">
        <v>43</v>
      </c>
      <c r="L29" s="19"/>
    </row>
    <row r="30" spans="1:12" ht="45">
      <c r="A30" s="241"/>
      <c r="B30" s="241"/>
      <c r="C30" s="97" t="s">
        <v>1534</v>
      </c>
      <c r="D30" s="97" t="s">
        <v>1535</v>
      </c>
      <c r="E30" s="97" t="s">
        <v>1536</v>
      </c>
      <c r="F30" s="97" t="s">
        <v>1537</v>
      </c>
      <c r="G30" s="239" t="s">
        <v>1538</v>
      </c>
      <c r="H30" s="97" t="s">
        <v>43</v>
      </c>
      <c r="I30" s="97" t="s">
        <v>51</v>
      </c>
      <c r="J30" s="160" t="s">
        <v>45</v>
      </c>
      <c r="K30" s="97" t="s">
        <v>43</v>
      </c>
      <c r="L30" s="19"/>
    </row>
    <row r="31" spans="1:12" ht="95.25" customHeight="1">
      <c r="A31" s="241"/>
      <c r="B31" s="241"/>
      <c r="C31" s="97" t="s">
        <v>1539</v>
      </c>
      <c r="D31" s="97" t="s">
        <v>1540</v>
      </c>
      <c r="E31" s="97" t="s">
        <v>1541</v>
      </c>
      <c r="F31" s="97" t="s">
        <v>1542</v>
      </c>
      <c r="G31" s="239" t="s">
        <v>1543</v>
      </c>
      <c r="H31" s="97" t="s">
        <v>43</v>
      </c>
      <c r="I31" s="97" t="s">
        <v>51</v>
      </c>
      <c r="J31" s="160" t="s">
        <v>173</v>
      </c>
      <c r="K31" s="97" t="s">
        <v>1544</v>
      </c>
      <c r="L31" s="19"/>
    </row>
    <row r="32" spans="1:12" ht="100.5" customHeight="1">
      <c r="A32" s="241"/>
      <c r="B32" s="241"/>
      <c r="C32" s="97" t="s">
        <v>1545</v>
      </c>
      <c r="D32" s="97" t="s">
        <v>1546</v>
      </c>
      <c r="E32" s="97" t="s">
        <v>1547</v>
      </c>
      <c r="F32" s="97" t="s">
        <v>1548</v>
      </c>
      <c r="G32" s="239" t="s">
        <v>1549</v>
      </c>
      <c r="H32" s="97" t="s">
        <v>43</v>
      </c>
      <c r="I32" s="97" t="s">
        <v>51</v>
      </c>
      <c r="J32" s="160" t="s">
        <v>173</v>
      </c>
      <c r="K32" s="97" t="s">
        <v>43</v>
      </c>
      <c r="L32" s="19"/>
    </row>
    <row r="33" spans="1:12" ht="30">
      <c r="A33" s="241"/>
      <c r="B33" s="241"/>
      <c r="C33" s="97" t="s">
        <v>1550</v>
      </c>
      <c r="D33" s="97" t="s">
        <v>1551</v>
      </c>
      <c r="E33" s="97" t="s">
        <v>1552</v>
      </c>
      <c r="F33" s="97" t="s">
        <v>1553</v>
      </c>
      <c r="G33" s="239" t="s">
        <v>1554</v>
      </c>
      <c r="H33" s="97" t="s">
        <v>43</v>
      </c>
      <c r="I33" s="97" t="s">
        <v>51</v>
      </c>
      <c r="J33" s="160" t="s">
        <v>173</v>
      </c>
      <c r="K33" s="97" t="s">
        <v>43</v>
      </c>
      <c r="L33" s="19"/>
    </row>
    <row r="34" spans="1:12" ht="82.5" customHeight="1">
      <c r="A34" s="241"/>
      <c r="B34" s="241"/>
      <c r="C34" s="97" t="s">
        <v>1555</v>
      </c>
      <c r="D34" s="97" t="s">
        <v>1556</v>
      </c>
      <c r="E34" s="97" t="s">
        <v>1557</v>
      </c>
      <c r="F34" s="97" t="s">
        <v>1558</v>
      </c>
      <c r="G34" s="239" t="s">
        <v>1559</v>
      </c>
      <c r="H34" s="97" t="s">
        <v>43</v>
      </c>
      <c r="I34" s="97" t="s">
        <v>51</v>
      </c>
      <c r="J34" s="160" t="s">
        <v>173</v>
      </c>
      <c r="K34" s="97" t="s">
        <v>43</v>
      </c>
      <c r="L34" s="19"/>
    </row>
    <row r="35" spans="1:12" ht="123.75" customHeight="1">
      <c r="A35" s="241"/>
      <c r="B35" s="241"/>
      <c r="C35" s="97" t="s">
        <v>1560</v>
      </c>
      <c r="D35" s="97" t="s">
        <v>1561</v>
      </c>
      <c r="E35" s="97" t="s">
        <v>1562</v>
      </c>
      <c r="F35" s="97" t="s">
        <v>1563</v>
      </c>
      <c r="G35" s="239" t="s">
        <v>1559</v>
      </c>
      <c r="H35" s="97" t="s">
        <v>43</v>
      </c>
      <c r="I35" s="97" t="s">
        <v>51</v>
      </c>
      <c r="J35" s="160" t="s">
        <v>173</v>
      </c>
      <c r="K35" s="97" t="s">
        <v>43</v>
      </c>
      <c r="L35" s="19"/>
    </row>
    <row r="36" spans="1:12" ht="93" customHeight="1">
      <c r="A36" s="240"/>
      <c r="B36" s="240"/>
      <c r="C36" s="97" t="s">
        <v>1564</v>
      </c>
      <c r="D36" s="97" t="s">
        <v>1565</v>
      </c>
      <c r="E36" s="97" t="s">
        <v>1566</v>
      </c>
      <c r="F36" s="97" t="s">
        <v>1567</v>
      </c>
      <c r="G36" s="239" t="s">
        <v>1559</v>
      </c>
      <c r="H36" s="97" t="s">
        <v>43</v>
      </c>
      <c r="I36" s="97" t="s">
        <v>51</v>
      </c>
      <c r="J36" s="160" t="s">
        <v>173</v>
      </c>
      <c r="K36" s="97" t="s">
        <v>43</v>
      </c>
      <c r="L36" s="19"/>
    </row>
    <row r="37" spans="1:12" ht="45">
      <c r="A37" s="238" t="s">
        <v>1568</v>
      </c>
      <c r="B37" s="238" t="s">
        <v>1569</v>
      </c>
      <c r="C37" s="97" t="s">
        <v>1570</v>
      </c>
      <c r="D37" s="97" t="s">
        <v>1571</v>
      </c>
      <c r="E37" s="97" t="s">
        <v>1572</v>
      </c>
      <c r="F37" s="97" t="s">
        <v>1573</v>
      </c>
      <c r="G37" s="239" t="s">
        <v>1574</v>
      </c>
      <c r="H37" s="97" t="s">
        <v>43</v>
      </c>
      <c r="I37" s="97" t="s">
        <v>51</v>
      </c>
      <c r="J37" s="160" t="s">
        <v>45</v>
      </c>
      <c r="K37" s="97" t="s">
        <v>43</v>
      </c>
      <c r="L37" s="19"/>
    </row>
    <row r="38" spans="1:12" ht="45">
      <c r="A38" s="241"/>
      <c r="B38" s="241"/>
      <c r="C38" s="97" t="s">
        <v>1575</v>
      </c>
      <c r="D38" s="97" t="s">
        <v>1576</v>
      </c>
      <c r="E38" s="97" t="s">
        <v>1577</v>
      </c>
      <c r="F38" s="97" t="s">
        <v>1578</v>
      </c>
      <c r="G38" s="239" t="s">
        <v>1579</v>
      </c>
      <c r="H38" s="97" t="s">
        <v>43</v>
      </c>
      <c r="I38" s="97" t="s">
        <v>51</v>
      </c>
      <c r="J38" s="160" t="s">
        <v>173</v>
      </c>
      <c r="K38" s="97" t="s">
        <v>43</v>
      </c>
      <c r="L38" s="19"/>
    </row>
    <row r="39" spans="1:12" ht="45">
      <c r="A39" s="241"/>
      <c r="B39" s="241"/>
      <c r="C39" s="97" t="s">
        <v>1580</v>
      </c>
      <c r="D39" s="97" t="s">
        <v>1581</v>
      </c>
      <c r="E39" s="97" t="s">
        <v>1577</v>
      </c>
      <c r="F39" s="97" t="s">
        <v>1582</v>
      </c>
      <c r="G39" s="239" t="s">
        <v>1583</v>
      </c>
      <c r="H39" s="97" t="s">
        <v>43</v>
      </c>
      <c r="I39" s="97" t="s">
        <v>51</v>
      </c>
      <c r="J39" s="160" t="s">
        <v>45</v>
      </c>
      <c r="K39" s="97" t="s">
        <v>43</v>
      </c>
      <c r="L39" s="19"/>
    </row>
    <row r="40" spans="1:12" ht="45">
      <c r="A40" s="241"/>
      <c r="B40" s="241"/>
      <c r="C40" s="97" t="s">
        <v>1584</v>
      </c>
      <c r="D40" s="97" t="s">
        <v>1585</v>
      </c>
      <c r="E40" s="97" t="s">
        <v>1577</v>
      </c>
      <c r="F40" s="97" t="s">
        <v>1586</v>
      </c>
      <c r="G40" s="239" t="s">
        <v>1587</v>
      </c>
      <c r="H40" s="97" t="s">
        <v>43</v>
      </c>
      <c r="I40" s="97" t="s">
        <v>51</v>
      </c>
      <c r="J40" s="160" t="s">
        <v>45</v>
      </c>
      <c r="K40" s="97" t="s">
        <v>43</v>
      </c>
      <c r="L40" s="19"/>
    </row>
    <row r="41" spans="1:12" ht="75.75" customHeight="1">
      <c r="A41" s="241"/>
      <c r="B41" s="241"/>
      <c r="C41" s="97" t="s">
        <v>1588</v>
      </c>
      <c r="D41" s="97" t="s">
        <v>1589</v>
      </c>
      <c r="E41" s="97" t="s">
        <v>1590</v>
      </c>
      <c r="F41" s="97" t="s">
        <v>1591</v>
      </c>
      <c r="G41" s="239" t="s">
        <v>1592</v>
      </c>
      <c r="H41" s="97" t="s">
        <v>43</v>
      </c>
      <c r="I41" s="97" t="s">
        <v>1528</v>
      </c>
      <c r="J41" s="160" t="s">
        <v>45</v>
      </c>
      <c r="K41" s="97" t="s">
        <v>43</v>
      </c>
      <c r="L41" s="19"/>
    </row>
    <row r="42" spans="1:12" ht="30">
      <c r="A42" s="241"/>
      <c r="B42" s="241"/>
      <c r="C42" s="97" t="s">
        <v>1593</v>
      </c>
      <c r="D42" s="97" t="s">
        <v>1594</v>
      </c>
      <c r="E42" s="97" t="s">
        <v>1595</v>
      </c>
      <c r="F42" s="97" t="s">
        <v>1596</v>
      </c>
      <c r="G42" s="239" t="s">
        <v>1597</v>
      </c>
      <c r="H42" s="97" t="s">
        <v>43</v>
      </c>
      <c r="I42" s="97" t="s">
        <v>51</v>
      </c>
      <c r="J42" s="160" t="s">
        <v>45</v>
      </c>
      <c r="K42" s="97" t="s">
        <v>43</v>
      </c>
      <c r="L42" s="19"/>
    </row>
    <row r="43" spans="1:12" ht="60">
      <c r="A43" s="240"/>
      <c r="B43" s="240"/>
      <c r="C43" s="97" t="s">
        <v>1598</v>
      </c>
      <c r="D43" s="97" t="s">
        <v>1599</v>
      </c>
      <c r="E43" s="97" t="s">
        <v>1600</v>
      </c>
      <c r="F43" s="97" t="s">
        <v>1601</v>
      </c>
      <c r="G43" s="239" t="s">
        <v>1602</v>
      </c>
      <c r="H43" s="97" t="s">
        <v>43</v>
      </c>
      <c r="I43" s="97" t="s">
        <v>1603</v>
      </c>
      <c r="J43" s="160" t="s">
        <v>173</v>
      </c>
      <c r="K43" s="97" t="s">
        <v>1604</v>
      </c>
      <c r="L43" s="19"/>
    </row>
    <row r="44" spans="1:12" ht="30">
      <c r="A44" s="238" t="s">
        <v>1605</v>
      </c>
      <c r="B44" s="238" t="s">
        <v>1606</v>
      </c>
      <c r="C44" s="97" t="s">
        <v>1607</v>
      </c>
      <c r="D44" s="97" t="s">
        <v>1608</v>
      </c>
      <c r="E44" s="97" t="s">
        <v>1609</v>
      </c>
      <c r="F44" s="97" t="s">
        <v>1610</v>
      </c>
      <c r="G44" s="239" t="s">
        <v>1611</v>
      </c>
      <c r="H44" s="97" t="s">
        <v>43</v>
      </c>
      <c r="I44" s="97" t="s">
        <v>51</v>
      </c>
      <c r="J44" s="160" t="s">
        <v>173</v>
      </c>
      <c r="K44" s="97" t="s">
        <v>1544</v>
      </c>
      <c r="L44" s="19"/>
    </row>
    <row r="45" spans="1:12" ht="45">
      <c r="A45" s="241"/>
      <c r="B45" s="241"/>
      <c r="C45" s="97" t="s">
        <v>1612</v>
      </c>
      <c r="D45" s="97" t="s">
        <v>1613</v>
      </c>
      <c r="E45" s="97" t="s">
        <v>1609</v>
      </c>
      <c r="F45" s="97" t="s">
        <v>1614</v>
      </c>
      <c r="G45" s="239" t="s">
        <v>1615</v>
      </c>
      <c r="H45" s="97" t="s">
        <v>43</v>
      </c>
      <c r="I45" s="97" t="s">
        <v>51</v>
      </c>
      <c r="J45" s="160" t="s">
        <v>173</v>
      </c>
      <c r="K45" s="97" t="s">
        <v>43</v>
      </c>
      <c r="L45" s="29"/>
    </row>
    <row r="46" spans="1:12" ht="111" customHeight="1">
      <c r="A46" s="241"/>
      <c r="B46" s="241"/>
      <c r="C46" s="97" t="s">
        <v>1616</v>
      </c>
      <c r="D46" s="97" t="s">
        <v>1617</v>
      </c>
      <c r="E46" s="97" t="s">
        <v>1609</v>
      </c>
      <c r="F46" s="97" t="s">
        <v>1618</v>
      </c>
      <c r="G46" s="239" t="s">
        <v>1619</v>
      </c>
      <c r="H46" s="97" t="s">
        <v>43</v>
      </c>
      <c r="I46" s="97" t="s">
        <v>51</v>
      </c>
      <c r="J46" s="160" t="s">
        <v>173</v>
      </c>
      <c r="K46" s="97" t="s">
        <v>43</v>
      </c>
      <c r="L46" s="29"/>
    </row>
    <row r="47" spans="1:12" ht="30">
      <c r="A47" s="241"/>
      <c r="B47" s="241"/>
      <c r="C47" s="97" t="s">
        <v>1620</v>
      </c>
      <c r="D47" s="97" t="s">
        <v>1621</v>
      </c>
      <c r="E47" s="97" t="s">
        <v>1609</v>
      </c>
      <c r="F47" s="97" t="s">
        <v>1622</v>
      </c>
      <c r="G47" s="239" t="s">
        <v>1623</v>
      </c>
      <c r="H47" s="97" t="s">
        <v>43</v>
      </c>
      <c r="I47" s="97" t="s">
        <v>51</v>
      </c>
      <c r="J47" s="160" t="s">
        <v>173</v>
      </c>
      <c r="K47" s="97" t="s">
        <v>43</v>
      </c>
      <c r="L47" s="29"/>
    </row>
    <row r="48" spans="1:12" ht="106.5" customHeight="1">
      <c r="A48" s="241"/>
      <c r="B48" s="241"/>
      <c r="C48" s="97" t="s">
        <v>1624</v>
      </c>
      <c r="D48" s="97" t="s">
        <v>1625</v>
      </c>
      <c r="E48" s="97" t="s">
        <v>1626</v>
      </c>
      <c r="F48" s="97" t="s">
        <v>1627</v>
      </c>
      <c r="G48" s="239" t="s">
        <v>1628</v>
      </c>
      <c r="H48" s="97" t="s">
        <v>43</v>
      </c>
      <c r="I48" s="97" t="s">
        <v>51</v>
      </c>
      <c r="J48" s="160" t="s">
        <v>173</v>
      </c>
      <c r="K48" s="97" t="s">
        <v>43</v>
      </c>
      <c r="L48" s="29"/>
    </row>
    <row r="49" spans="1:12" ht="30">
      <c r="A49" s="240"/>
      <c r="B49" s="240"/>
      <c r="C49" s="97" t="s">
        <v>1629</v>
      </c>
      <c r="D49" s="97" t="s">
        <v>1630</v>
      </c>
      <c r="E49" s="97" t="s">
        <v>1631</v>
      </c>
      <c r="F49" s="97" t="s">
        <v>1632</v>
      </c>
      <c r="G49" s="239" t="s">
        <v>1633</v>
      </c>
      <c r="H49" s="97" t="s">
        <v>43</v>
      </c>
      <c r="I49" s="97" t="s">
        <v>1603</v>
      </c>
      <c r="J49" s="160" t="s">
        <v>173</v>
      </c>
      <c r="K49" s="97" t="s">
        <v>43</v>
      </c>
      <c r="L49" s="29"/>
    </row>
    <row r="50" spans="1:12" ht="60">
      <c r="A50" s="238" t="s">
        <v>1634</v>
      </c>
      <c r="B50" s="238" t="s">
        <v>1635</v>
      </c>
      <c r="C50" s="97" t="s">
        <v>1636</v>
      </c>
      <c r="D50" s="97" t="s">
        <v>1637</v>
      </c>
      <c r="E50" s="97" t="s">
        <v>1638</v>
      </c>
      <c r="F50" s="97" t="s">
        <v>1639</v>
      </c>
      <c r="G50" s="239" t="s">
        <v>1640</v>
      </c>
      <c r="H50" s="97" t="s">
        <v>43</v>
      </c>
      <c r="I50" s="97" t="s">
        <v>51</v>
      </c>
      <c r="J50" s="160" t="s">
        <v>45</v>
      </c>
      <c r="K50" s="97" t="s">
        <v>43</v>
      </c>
      <c r="L50" s="29"/>
    </row>
    <row r="51" spans="1:12" ht="45">
      <c r="A51" s="241"/>
      <c r="B51" s="241"/>
      <c r="C51" s="97" t="s">
        <v>1641</v>
      </c>
      <c r="D51" s="97" t="s">
        <v>1642</v>
      </c>
      <c r="E51" s="97" t="s">
        <v>1643</v>
      </c>
      <c r="F51" s="97" t="s">
        <v>1644</v>
      </c>
      <c r="G51" s="239" t="s">
        <v>1645</v>
      </c>
      <c r="H51" s="97" t="s">
        <v>43</v>
      </c>
      <c r="I51" s="97" t="s">
        <v>51</v>
      </c>
      <c r="J51" s="160" t="s">
        <v>45</v>
      </c>
      <c r="K51" s="97" t="s">
        <v>43</v>
      </c>
      <c r="L51" s="29"/>
    </row>
    <row r="52" spans="1:12" ht="45">
      <c r="A52" s="241"/>
      <c r="B52" s="241"/>
      <c r="C52" s="97" t="s">
        <v>1646</v>
      </c>
      <c r="D52" s="97" t="s">
        <v>1647</v>
      </c>
      <c r="E52" s="97" t="s">
        <v>1648</v>
      </c>
      <c r="F52" s="97" t="s">
        <v>1649</v>
      </c>
      <c r="G52" s="239" t="s">
        <v>1650</v>
      </c>
      <c r="H52" s="97" t="s">
        <v>43</v>
      </c>
      <c r="I52" s="97" t="s">
        <v>51</v>
      </c>
      <c r="J52" s="160" t="s">
        <v>45</v>
      </c>
      <c r="K52" s="97" t="s">
        <v>43</v>
      </c>
      <c r="L52" s="29"/>
    </row>
    <row r="53" spans="1:12" ht="30">
      <c r="A53" s="241"/>
      <c r="B53" s="241"/>
      <c r="C53" s="97" t="s">
        <v>1651</v>
      </c>
      <c r="D53" s="97" t="s">
        <v>1652</v>
      </c>
      <c r="E53" s="97" t="s">
        <v>1653</v>
      </c>
      <c r="F53" s="97" t="s">
        <v>1654</v>
      </c>
      <c r="G53" s="239" t="s">
        <v>1655</v>
      </c>
      <c r="H53" s="97" t="s">
        <v>43</v>
      </c>
      <c r="I53" s="97" t="s">
        <v>51</v>
      </c>
      <c r="J53" s="160" t="s">
        <v>45</v>
      </c>
      <c r="K53" s="97" t="s">
        <v>43</v>
      </c>
      <c r="L53" s="29"/>
    </row>
    <row r="54" spans="1:12" ht="30">
      <c r="A54" s="241"/>
      <c r="B54" s="241"/>
      <c r="C54" s="97" t="s">
        <v>1656</v>
      </c>
      <c r="D54" s="97" t="s">
        <v>1657</v>
      </c>
      <c r="E54" s="97" t="s">
        <v>1658</v>
      </c>
      <c r="F54" s="97" t="s">
        <v>1659</v>
      </c>
      <c r="G54" s="239" t="s">
        <v>1660</v>
      </c>
      <c r="H54" s="97" t="s">
        <v>43</v>
      </c>
      <c r="I54" s="97" t="s">
        <v>51</v>
      </c>
      <c r="J54" s="160" t="s">
        <v>45</v>
      </c>
      <c r="K54" s="97" t="s">
        <v>43</v>
      </c>
      <c r="L54" s="29"/>
    </row>
    <row r="55" spans="1:12" ht="30">
      <c r="A55" s="241"/>
      <c r="B55" s="241"/>
      <c r="C55" s="97" t="s">
        <v>1661</v>
      </c>
      <c r="D55" s="97" t="s">
        <v>1662</v>
      </c>
      <c r="E55" s="97" t="s">
        <v>1663</v>
      </c>
      <c r="F55" s="97" t="s">
        <v>1664</v>
      </c>
      <c r="G55" s="239" t="s">
        <v>1665</v>
      </c>
      <c r="H55" s="97" t="s">
        <v>43</v>
      </c>
      <c r="I55" s="97" t="s">
        <v>51</v>
      </c>
      <c r="J55" s="160" t="s">
        <v>45</v>
      </c>
      <c r="K55" s="97" t="s">
        <v>43</v>
      </c>
      <c r="L55" s="29"/>
    </row>
    <row r="56" spans="1:12" ht="45">
      <c r="A56" s="241"/>
      <c r="B56" s="241"/>
      <c r="C56" s="97" t="s">
        <v>1666</v>
      </c>
      <c r="D56" s="97" t="s">
        <v>1667</v>
      </c>
      <c r="E56" s="97" t="s">
        <v>1668</v>
      </c>
      <c r="F56" s="97" t="s">
        <v>1669</v>
      </c>
      <c r="G56" s="239" t="s">
        <v>1670</v>
      </c>
      <c r="H56" s="97" t="s">
        <v>43</v>
      </c>
      <c r="I56" s="97" t="s">
        <v>44</v>
      </c>
      <c r="J56" s="160" t="s">
        <v>45</v>
      </c>
      <c r="K56" s="97" t="s">
        <v>1671</v>
      </c>
    </row>
    <row r="57" spans="1:12" ht="45">
      <c r="A57" s="241"/>
      <c r="B57" s="241"/>
      <c r="C57" s="97" t="s">
        <v>1672</v>
      </c>
      <c r="D57" s="97" t="s">
        <v>1673</v>
      </c>
      <c r="E57" s="97" t="s">
        <v>1674</v>
      </c>
      <c r="F57" s="97" t="s">
        <v>1675</v>
      </c>
      <c r="G57" s="239" t="s">
        <v>1676</v>
      </c>
      <c r="H57" s="97" t="s">
        <v>43</v>
      </c>
      <c r="I57" s="97" t="s">
        <v>1528</v>
      </c>
      <c r="J57" s="160" t="s">
        <v>45</v>
      </c>
      <c r="K57" s="97" t="s">
        <v>43</v>
      </c>
    </row>
    <row r="58" spans="1:12" ht="45">
      <c r="A58" s="240"/>
      <c r="B58" s="240"/>
      <c r="C58" s="97" t="s">
        <v>1677</v>
      </c>
      <c r="D58" s="97" t="s">
        <v>1678</v>
      </c>
      <c r="E58" s="97" t="s">
        <v>1679</v>
      </c>
      <c r="F58" s="97" t="s">
        <v>1680</v>
      </c>
      <c r="G58" s="239" t="s">
        <v>1681</v>
      </c>
      <c r="H58" s="97" t="s">
        <v>43</v>
      </c>
      <c r="I58" s="97" t="s">
        <v>44</v>
      </c>
      <c r="J58" s="160" t="s">
        <v>45</v>
      </c>
      <c r="K58" s="97" t="s">
        <v>43</v>
      </c>
    </row>
    <row r="59" spans="1:12" ht="75">
      <c r="A59" s="238" t="s">
        <v>1682</v>
      </c>
      <c r="B59" s="238" t="s">
        <v>1683</v>
      </c>
      <c r="C59" s="97" t="s">
        <v>1684</v>
      </c>
      <c r="D59" s="97" t="s">
        <v>1685</v>
      </c>
      <c r="E59" s="97" t="s">
        <v>1686</v>
      </c>
      <c r="F59" s="97" t="s">
        <v>1687</v>
      </c>
      <c r="G59" s="239" t="s">
        <v>1688</v>
      </c>
      <c r="H59" s="97" t="s">
        <v>43</v>
      </c>
      <c r="I59" s="97" t="s">
        <v>51</v>
      </c>
      <c r="J59" s="160" t="s">
        <v>45</v>
      </c>
      <c r="K59" s="97" t="s">
        <v>43</v>
      </c>
    </row>
    <row r="60" spans="1:12" ht="45">
      <c r="A60" s="241"/>
      <c r="B60" s="241"/>
      <c r="C60" s="97" t="s">
        <v>1689</v>
      </c>
      <c r="D60" s="97" t="s">
        <v>1690</v>
      </c>
      <c r="E60" s="97" t="s">
        <v>1691</v>
      </c>
      <c r="F60" s="97" t="s">
        <v>1692</v>
      </c>
      <c r="G60" s="239" t="s">
        <v>1693</v>
      </c>
      <c r="H60" s="97" t="s">
        <v>43</v>
      </c>
      <c r="I60" s="97" t="s">
        <v>44</v>
      </c>
      <c r="J60" s="160" t="s">
        <v>45</v>
      </c>
      <c r="K60" s="97" t="s">
        <v>43</v>
      </c>
    </row>
    <row r="61" spans="1:12" ht="45">
      <c r="A61" s="241"/>
      <c r="B61" s="241"/>
      <c r="C61" s="97" t="s">
        <v>1694</v>
      </c>
      <c r="D61" s="97" t="s">
        <v>1695</v>
      </c>
      <c r="E61" s="97" t="s">
        <v>1696</v>
      </c>
      <c r="F61" s="97" t="s">
        <v>1697</v>
      </c>
      <c r="G61" s="239" t="s">
        <v>1698</v>
      </c>
      <c r="H61" s="97" t="s">
        <v>43</v>
      </c>
      <c r="I61" s="97" t="s">
        <v>51</v>
      </c>
      <c r="J61" s="160" t="s">
        <v>45</v>
      </c>
      <c r="K61" s="97" t="s">
        <v>43</v>
      </c>
    </row>
    <row r="62" spans="1:12" ht="45">
      <c r="A62" s="241"/>
      <c r="B62" s="241"/>
      <c r="C62" s="97" t="s">
        <v>1699</v>
      </c>
      <c r="D62" s="97" t="s">
        <v>1700</v>
      </c>
      <c r="E62" s="97" t="s">
        <v>1701</v>
      </c>
      <c r="F62" s="97" t="s">
        <v>1702</v>
      </c>
      <c r="G62" s="239" t="s">
        <v>1703</v>
      </c>
      <c r="H62" s="97" t="s">
        <v>43</v>
      </c>
      <c r="I62" s="97" t="s">
        <v>51</v>
      </c>
      <c r="J62" s="160" t="s">
        <v>45</v>
      </c>
      <c r="K62" s="97" t="s">
        <v>43</v>
      </c>
    </row>
    <row r="63" spans="1:12" ht="45">
      <c r="A63" s="241"/>
      <c r="B63" s="241"/>
      <c r="C63" s="97" t="s">
        <v>1704</v>
      </c>
      <c r="D63" s="97" t="s">
        <v>1705</v>
      </c>
      <c r="E63" s="97" t="s">
        <v>1706</v>
      </c>
      <c r="F63" s="97" t="s">
        <v>1707</v>
      </c>
      <c r="G63" s="239" t="s">
        <v>1708</v>
      </c>
      <c r="H63" s="97" t="s">
        <v>43</v>
      </c>
      <c r="I63" s="97" t="s">
        <v>51</v>
      </c>
      <c r="J63" s="160" t="s">
        <v>45</v>
      </c>
      <c r="K63" s="97" t="s">
        <v>43</v>
      </c>
    </row>
    <row r="64" spans="1:12" ht="45">
      <c r="A64" s="241"/>
      <c r="B64" s="241"/>
      <c r="C64" s="97" t="s">
        <v>1709</v>
      </c>
      <c r="D64" s="97" t="s">
        <v>1710</v>
      </c>
      <c r="E64" s="97" t="s">
        <v>1711</v>
      </c>
      <c r="F64" s="97" t="s">
        <v>1712</v>
      </c>
      <c r="G64" s="239" t="s">
        <v>1713</v>
      </c>
      <c r="H64" s="97" t="s">
        <v>43</v>
      </c>
      <c r="I64" s="97" t="s">
        <v>51</v>
      </c>
      <c r="J64" s="160" t="s">
        <v>45</v>
      </c>
      <c r="K64" s="97" t="s">
        <v>43</v>
      </c>
    </row>
    <row r="65" spans="1:11" ht="30">
      <c r="A65" s="241"/>
      <c r="B65" s="241"/>
      <c r="C65" s="97" t="s">
        <v>1714</v>
      </c>
      <c r="D65" s="97" t="s">
        <v>1715</v>
      </c>
      <c r="E65" s="97" t="s">
        <v>1716</v>
      </c>
      <c r="F65" s="97" t="s">
        <v>1717</v>
      </c>
      <c r="G65" s="239" t="s">
        <v>1718</v>
      </c>
      <c r="H65" s="97" t="s">
        <v>43</v>
      </c>
      <c r="I65" s="97" t="s">
        <v>1041</v>
      </c>
      <c r="J65" s="160" t="s">
        <v>45</v>
      </c>
      <c r="K65" s="97" t="s">
        <v>43</v>
      </c>
    </row>
    <row r="66" spans="1:11" ht="60">
      <c r="A66" s="241"/>
      <c r="B66" s="241"/>
      <c r="C66" s="97" t="s">
        <v>1719</v>
      </c>
      <c r="D66" s="97" t="s">
        <v>1720</v>
      </c>
      <c r="E66" s="97" t="s">
        <v>1721</v>
      </c>
      <c r="F66" s="97" t="s">
        <v>1722</v>
      </c>
      <c r="G66" s="239" t="s">
        <v>1723</v>
      </c>
      <c r="H66" s="97" t="s">
        <v>43</v>
      </c>
      <c r="I66" s="97" t="s">
        <v>51</v>
      </c>
      <c r="J66" s="160" t="s">
        <v>45</v>
      </c>
      <c r="K66" s="97" t="s">
        <v>43</v>
      </c>
    </row>
    <row r="67" spans="1:11" ht="30">
      <c r="A67" s="240"/>
      <c r="B67" s="240"/>
      <c r="C67" s="97" t="s">
        <v>1724</v>
      </c>
      <c r="D67" s="97" t="s">
        <v>1725</v>
      </c>
      <c r="E67" s="97" t="s">
        <v>1726</v>
      </c>
      <c r="F67" s="97" t="s">
        <v>1727</v>
      </c>
      <c r="G67" s="239" t="s">
        <v>1728</v>
      </c>
      <c r="H67" s="97" t="s">
        <v>43</v>
      </c>
      <c r="I67" s="97" t="s">
        <v>51</v>
      </c>
      <c r="J67" s="160" t="s">
        <v>45</v>
      </c>
      <c r="K67" s="97" t="s">
        <v>43</v>
      </c>
    </row>
    <row r="68" spans="1:11" ht="75">
      <c r="A68" s="238" t="s">
        <v>1729</v>
      </c>
      <c r="B68" s="238" t="s">
        <v>1730</v>
      </c>
      <c r="C68" s="97" t="s">
        <v>1731</v>
      </c>
      <c r="D68" s="97" t="s">
        <v>1732</v>
      </c>
      <c r="E68" s="97" t="s">
        <v>1733</v>
      </c>
      <c r="F68" s="97" t="s">
        <v>1734</v>
      </c>
      <c r="G68" s="239" t="s">
        <v>1735</v>
      </c>
      <c r="H68" s="97" t="s">
        <v>43</v>
      </c>
      <c r="I68" s="97" t="s">
        <v>1603</v>
      </c>
      <c r="J68" s="160" t="s">
        <v>45</v>
      </c>
      <c r="K68" s="97" t="s">
        <v>43</v>
      </c>
    </row>
    <row r="69" spans="1:11" ht="60">
      <c r="A69" s="241"/>
      <c r="B69" s="241"/>
      <c r="C69" s="97" t="s">
        <v>1736</v>
      </c>
      <c r="D69" s="97" t="s">
        <v>1737</v>
      </c>
      <c r="E69" s="97" t="s">
        <v>1738</v>
      </c>
      <c r="F69" s="97" t="s">
        <v>1739</v>
      </c>
      <c r="G69" s="239" t="s">
        <v>1740</v>
      </c>
      <c r="H69" s="97" t="s">
        <v>43</v>
      </c>
      <c r="I69" s="97" t="s">
        <v>1603</v>
      </c>
      <c r="J69" s="160" t="s">
        <v>45</v>
      </c>
      <c r="K69" s="97" t="s">
        <v>43</v>
      </c>
    </row>
    <row r="70" spans="1:11" ht="45">
      <c r="A70" s="241"/>
      <c r="B70" s="241"/>
      <c r="C70" s="97" t="s">
        <v>1741</v>
      </c>
      <c r="D70" s="97" t="s">
        <v>1742</v>
      </c>
      <c r="E70" s="97" t="s">
        <v>1743</v>
      </c>
      <c r="F70" s="97" t="s">
        <v>1744</v>
      </c>
      <c r="G70" s="239" t="s">
        <v>1745</v>
      </c>
      <c r="H70" s="97" t="s">
        <v>43</v>
      </c>
      <c r="I70" s="97" t="s">
        <v>1603</v>
      </c>
      <c r="J70" s="160" t="s">
        <v>45</v>
      </c>
      <c r="K70" s="97" t="s">
        <v>43</v>
      </c>
    </row>
    <row r="71" spans="1:11" ht="45">
      <c r="A71" s="241"/>
      <c r="B71" s="241"/>
      <c r="C71" s="97" t="s">
        <v>1746</v>
      </c>
      <c r="D71" s="97" t="s">
        <v>1747</v>
      </c>
      <c r="E71" s="97" t="s">
        <v>1595</v>
      </c>
      <c r="F71" s="97" t="s">
        <v>1748</v>
      </c>
      <c r="G71" s="239" t="s">
        <v>1749</v>
      </c>
      <c r="H71" s="97" t="s">
        <v>43</v>
      </c>
      <c r="I71" s="97" t="s">
        <v>1603</v>
      </c>
      <c r="J71" s="160" t="s">
        <v>45</v>
      </c>
      <c r="K71" s="97" t="s">
        <v>43</v>
      </c>
    </row>
    <row r="72" spans="1:11" ht="45">
      <c r="A72" s="240"/>
      <c r="B72" s="240"/>
      <c r="C72" s="97" t="s">
        <v>1750</v>
      </c>
      <c r="D72" s="97" t="s">
        <v>1751</v>
      </c>
      <c r="E72" s="97" t="s">
        <v>1752</v>
      </c>
      <c r="F72" s="97" t="s">
        <v>1753</v>
      </c>
      <c r="G72" s="239" t="s">
        <v>1754</v>
      </c>
      <c r="H72" s="97" t="s">
        <v>43</v>
      </c>
      <c r="I72" s="97" t="s">
        <v>1603</v>
      </c>
      <c r="J72" s="160" t="s">
        <v>45</v>
      </c>
      <c r="K72" s="97" t="s">
        <v>43</v>
      </c>
    </row>
    <row r="73" spans="1:11">
      <c r="C73"/>
    </row>
  </sheetData>
  <mergeCells count="26">
    <mergeCell ref="B17:B23"/>
    <mergeCell ref="A17:A23"/>
    <mergeCell ref="B13:B16"/>
    <mergeCell ref="A13:A16"/>
    <mergeCell ref="B11:B12"/>
    <mergeCell ref="A11:A12"/>
    <mergeCell ref="A68:A72"/>
    <mergeCell ref="B68:B72"/>
    <mergeCell ref="B24:B36"/>
    <mergeCell ref="B37:B43"/>
    <mergeCell ref="A37:A43"/>
    <mergeCell ref="A24:A36"/>
    <mergeCell ref="B44:B49"/>
    <mergeCell ref="A44:A49"/>
    <mergeCell ref="B50:B58"/>
    <mergeCell ref="A50:A58"/>
    <mergeCell ref="A59:A67"/>
    <mergeCell ref="B59:B67"/>
    <mergeCell ref="B7:D7"/>
    <mergeCell ref="A8:A9"/>
    <mergeCell ref="B1:D1"/>
    <mergeCell ref="B2:D2"/>
    <mergeCell ref="B3:D3"/>
    <mergeCell ref="B4:D4"/>
    <mergeCell ref="B5:D5"/>
    <mergeCell ref="B6:D6"/>
  </mergeCells>
  <conditionalFormatting sqref="J11:J72">
    <cfRule type="containsText" dxfId="12" priority="1" operator="containsText" text="OPEN/PENDING">
      <formula>NOT(ISERROR(SEARCH("OPEN/PENDING",J11)))</formula>
    </cfRule>
    <cfRule type="containsText" dxfId="11" priority="2" operator="containsText" text="FAIL">
      <formula>NOT(ISERROR(SEARCH("FAIL",J11)))</formula>
    </cfRule>
    <cfRule type="containsText" dxfId="10" priority="3" operator="containsText" text="PASS">
      <formula>NOT(ISERROR(SEARCH("PASS",J11)))</formula>
    </cfRule>
  </conditionalFormatting>
  <hyperlinks>
    <hyperlink ref="B2" r:id="rId1" xr:uid="{3E60C552-7D31-4F79-A5DC-2FFFAC702B2F}"/>
    <hyperlink ref="B3" r:id="rId2" xr:uid="{9816D5A8-C818-4347-96F8-FE12978AF60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7E78-7ADF-4743-B8E3-B9B49376061C}">
  <dimension ref="A1:L172"/>
  <sheetViews>
    <sheetView workbookViewId="0">
      <selection activeCell="J100" sqref="J100"/>
    </sheetView>
  </sheetViews>
  <sheetFormatPr defaultColWidth="9.140625" defaultRowHeight="17.100000000000001"/>
  <cols>
    <col min="1" max="1" width="25.7109375" style="77" customWidth="1"/>
    <col min="2" max="2" width="30.42578125" style="77" customWidth="1"/>
    <col min="3" max="3" width="31.7109375" style="77" customWidth="1"/>
    <col min="4" max="4" width="36.140625" style="77" customWidth="1"/>
    <col min="5" max="5" width="27.140625" style="76" customWidth="1"/>
    <col min="6" max="6" width="37" style="77" customWidth="1"/>
    <col min="7" max="7" width="52.140625" style="77" customWidth="1"/>
    <col min="8" max="8" width="55.85546875" style="77" customWidth="1"/>
    <col min="9" max="10" width="20.42578125" style="105" customWidth="1"/>
    <col min="11" max="11" width="48.42578125" style="77" customWidth="1"/>
    <col min="12" max="16384" width="9.140625" style="77"/>
  </cols>
  <sheetData>
    <row r="1" spans="1:12" ht="39" customHeight="1">
      <c r="A1" s="78" t="s">
        <v>439</v>
      </c>
      <c r="B1" s="198" t="s">
        <v>1755</v>
      </c>
      <c r="C1" s="198"/>
      <c r="D1" s="199"/>
      <c r="E1" s="79"/>
      <c r="F1" s="79"/>
      <c r="G1" s="79"/>
      <c r="H1" s="80" t="s">
        <v>2</v>
      </c>
      <c r="I1" s="81" t="s">
        <v>3</v>
      </c>
      <c r="J1" s="81" t="s">
        <v>4</v>
      </c>
      <c r="K1" s="81" t="s">
        <v>5</v>
      </c>
    </row>
    <row r="2" spans="1:12" ht="42" customHeight="1">
      <c r="A2" s="82" t="s">
        <v>441</v>
      </c>
      <c r="B2" s="173" t="s">
        <v>7</v>
      </c>
      <c r="C2" s="174"/>
      <c r="D2" s="174"/>
      <c r="E2" s="79"/>
      <c r="F2" s="79"/>
      <c r="G2" s="79"/>
      <c r="H2" s="100" t="s">
        <v>8</v>
      </c>
      <c r="I2" s="112">
        <v>46087</v>
      </c>
      <c r="J2" s="113" t="s">
        <v>15</v>
      </c>
      <c r="K2" s="113" t="s">
        <v>1756</v>
      </c>
    </row>
    <row r="3" spans="1:12" ht="42" customHeight="1">
      <c r="A3" s="82" t="s">
        <v>445</v>
      </c>
      <c r="B3" s="176" t="s">
        <v>13</v>
      </c>
      <c r="C3" s="177"/>
      <c r="D3" s="177"/>
      <c r="E3" s="79"/>
      <c r="F3" s="79"/>
      <c r="G3" s="79"/>
      <c r="H3" s="107" t="s">
        <v>8</v>
      </c>
      <c r="I3" s="107" t="s">
        <v>1757</v>
      </c>
      <c r="J3" s="25" t="s">
        <v>443</v>
      </c>
      <c r="K3" s="107" t="s">
        <v>1758</v>
      </c>
    </row>
    <row r="4" spans="1:12" ht="42" customHeight="1">
      <c r="A4" s="82" t="s">
        <v>448</v>
      </c>
      <c r="B4" s="198" t="s">
        <v>1759</v>
      </c>
      <c r="C4" s="198"/>
      <c r="D4" s="199"/>
      <c r="E4" s="79"/>
      <c r="F4" s="79"/>
      <c r="G4" s="79"/>
      <c r="H4" s="79"/>
      <c r="I4" s="79"/>
      <c r="J4" s="79"/>
      <c r="K4" s="79"/>
    </row>
    <row r="5" spans="1:12" ht="42" customHeight="1">
      <c r="A5" s="82" t="s">
        <v>450</v>
      </c>
      <c r="B5" s="202">
        <v>46087</v>
      </c>
      <c r="C5" s="198"/>
      <c r="D5" s="199"/>
      <c r="E5" s="79"/>
      <c r="F5" s="79"/>
      <c r="G5" s="79"/>
      <c r="H5" s="79"/>
      <c r="I5" s="79"/>
      <c r="J5" s="79"/>
      <c r="K5" s="79"/>
    </row>
    <row r="6" spans="1:12" ht="42" customHeight="1">
      <c r="A6" s="82" t="s">
        <v>451</v>
      </c>
      <c r="B6" s="198" t="s">
        <v>43</v>
      </c>
      <c r="C6" s="198"/>
      <c r="D6" s="199"/>
      <c r="E6" s="79"/>
      <c r="F6" s="79"/>
      <c r="G6" s="79"/>
      <c r="H6" s="79"/>
      <c r="I6" s="79"/>
      <c r="J6" s="79"/>
      <c r="K6" s="79"/>
    </row>
    <row r="7" spans="1:12" ht="42" customHeight="1">
      <c r="A7" s="82" t="s">
        <v>452</v>
      </c>
      <c r="B7" s="198" t="s">
        <v>8</v>
      </c>
      <c r="C7" s="198"/>
      <c r="D7" s="199"/>
      <c r="E7" s="79"/>
      <c r="F7" s="79"/>
      <c r="G7" s="79"/>
      <c r="H7" s="79"/>
      <c r="I7" s="79"/>
      <c r="J7" s="79"/>
      <c r="K7" s="79"/>
    </row>
    <row r="8" spans="1:12" ht="18">
      <c r="A8" s="200" t="s">
        <v>453</v>
      </c>
      <c r="B8" s="83" t="s">
        <v>454</v>
      </c>
      <c r="C8" s="109" t="s">
        <v>22</v>
      </c>
      <c r="D8" s="110" t="s">
        <v>23</v>
      </c>
      <c r="E8" s="79"/>
      <c r="F8" s="79"/>
      <c r="G8" s="79"/>
      <c r="H8" s="79"/>
      <c r="I8" s="79"/>
      <c r="J8" s="79"/>
      <c r="K8" s="79"/>
    </row>
    <row r="9" spans="1:12">
      <c r="A9" s="201"/>
      <c r="B9" s="108">
        <f>SUM(C9+D9)</f>
        <v>105</v>
      </c>
      <c r="C9" s="6">
        <f>COUNTIF(
J:J,"Pass")</f>
        <v>105</v>
      </c>
      <c r="D9" s="6">
        <f xml:space="preserve"> COUNTIF(
J:J,"Fail")</f>
        <v>0</v>
      </c>
      <c r="E9" s="79"/>
      <c r="F9" s="79"/>
      <c r="G9" s="79"/>
      <c r="H9" s="79"/>
      <c r="I9" s="79"/>
      <c r="J9" s="79"/>
      <c r="K9" s="79"/>
    </row>
    <row r="10" spans="1:12" s="105" customFormat="1" ht="36">
      <c r="A10" s="103" t="s">
        <v>455</v>
      </c>
      <c r="B10" s="104" t="s">
        <v>456</v>
      </c>
      <c r="C10" s="111" t="s">
        <v>457</v>
      </c>
      <c r="D10" s="111" t="s">
        <v>458</v>
      </c>
      <c r="E10" s="104" t="s">
        <v>459</v>
      </c>
      <c r="F10" s="104" t="s">
        <v>460</v>
      </c>
      <c r="G10" s="104" t="s">
        <v>461</v>
      </c>
      <c r="H10" s="104" t="s">
        <v>1760</v>
      </c>
      <c r="I10" s="104" t="s">
        <v>32</v>
      </c>
      <c r="J10" s="84" t="s">
        <v>1761</v>
      </c>
      <c r="K10" s="84" t="s">
        <v>1762</v>
      </c>
      <c r="L10" s="12" t="s">
        <v>35</v>
      </c>
    </row>
    <row r="11" spans="1:12" ht="109.5" customHeight="1">
      <c r="A11" s="144" t="s">
        <v>1763</v>
      </c>
      <c r="B11" s="144" t="s">
        <v>1764</v>
      </c>
      <c r="C11" s="144" t="s">
        <v>1765</v>
      </c>
      <c r="D11" s="144" t="s">
        <v>1766</v>
      </c>
      <c r="E11" s="144" t="s">
        <v>1767</v>
      </c>
      <c r="F11" s="144" t="s">
        <v>1768</v>
      </c>
      <c r="G11" s="144" t="s">
        <v>1769</v>
      </c>
      <c r="H11" s="144" t="s">
        <v>1770</v>
      </c>
      <c r="I11" s="144" t="s">
        <v>51</v>
      </c>
      <c r="J11" s="145" t="s">
        <v>45</v>
      </c>
      <c r="K11" s="146"/>
      <c r="L11" s="19"/>
    </row>
    <row r="12" spans="1:12" ht="172.5" customHeight="1">
      <c r="A12" s="144" t="s">
        <v>1763</v>
      </c>
      <c r="B12" s="144" t="s">
        <v>1764</v>
      </c>
      <c r="C12" s="144" t="s">
        <v>1771</v>
      </c>
      <c r="D12" s="144" t="s">
        <v>1772</v>
      </c>
      <c r="E12" s="144" t="s">
        <v>1773</v>
      </c>
      <c r="F12" s="144" t="s">
        <v>1774</v>
      </c>
      <c r="G12" s="144" t="s">
        <v>1775</v>
      </c>
      <c r="H12" s="144" t="s">
        <v>1776</v>
      </c>
      <c r="I12" s="144" t="s">
        <v>44</v>
      </c>
      <c r="J12" s="145" t="s">
        <v>45</v>
      </c>
      <c r="K12" s="146"/>
      <c r="L12" s="19"/>
    </row>
    <row r="13" spans="1:12" ht="115.5" customHeight="1">
      <c r="A13" s="144" t="s">
        <v>1763</v>
      </c>
      <c r="B13" s="144" t="s">
        <v>1764</v>
      </c>
      <c r="C13" s="144" t="s">
        <v>1777</v>
      </c>
      <c r="D13" s="144" t="s">
        <v>1778</v>
      </c>
      <c r="E13" s="144" t="s">
        <v>1773</v>
      </c>
      <c r="F13" s="144" t="s">
        <v>1779</v>
      </c>
      <c r="G13" s="144" t="s">
        <v>1780</v>
      </c>
      <c r="H13" s="144" t="s">
        <v>1781</v>
      </c>
      <c r="I13" s="144" t="s">
        <v>44</v>
      </c>
      <c r="J13" s="145" t="s">
        <v>45</v>
      </c>
      <c r="K13" s="146"/>
      <c r="L13" s="19"/>
    </row>
    <row r="14" spans="1:12" ht="145.5" customHeight="1">
      <c r="A14" s="144" t="s">
        <v>1782</v>
      </c>
      <c r="B14" s="144" t="s">
        <v>1783</v>
      </c>
      <c r="C14" s="144" t="s">
        <v>1784</v>
      </c>
      <c r="D14" s="144" t="s">
        <v>1785</v>
      </c>
      <c r="E14" s="144" t="s">
        <v>1786</v>
      </c>
      <c r="F14" s="144" t="s">
        <v>1787</v>
      </c>
      <c r="G14" s="144" t="s">
        <v>1788</v>
      </c>
      <c r="H14" s="144" t="s">
        <v>1789</v>
      </c>
      <c r="I14" s="144" t="s">
        <v>44</v>
      </c>
      <c r="J14" s="145" t="s">
        <v>45</v>
      </c>
      <c r="K14" s="146"/>
      <c r="L14" s="19"/>
    </row>
    <row r="15" spans="1:12" ht="125.25" customHeight="1">
      <c r="A15" s="144" t="s">
        <v>1782</v>
      </c>
      <c r="B15" s="144" t="s">
        <v>1783</v>
      </c>
      <c r="C15" s="144" t="s">
        <v>1790</v>
      </c>
      <c r="D15" s="144" t="s">
        <v>1791</v>
      </c>
      <c r="E15" s="144" t="s">
        <v>1792</v>
      </c>
      <c r="F15" s="144" t="s">
        <v>1793</v>
      </c>
      <c r="G15" s="144" t="s">
        <v>1794</v>
      </c>
      <c r="H15" s="144" t="s">
        <v>1795</v>
      </c>
      <c r="I15" s="144" t="s">
        <v>51</v>
      </c>
      <c r="J15" s="145" t="s">
        <v>45</v>
      </c>
      <c r="K15" s="146"/>
      <c r="L15" s="19"/>
    </row>
    <row r="16" spans="1:12" ht="96.75" customHeight="1">
      <c r="A16" s="144" t="s">
        <v>1782</v>
      </c>
      <c r="B16" s="144" t="s">
        <v>1783</v>
      </c>
      <c r="C16" s="144" t="s">
        <v>1796</v>
      </c>
      <c r="D16" s="144" t="s">
        <v>1797</v>
      </c>
      <c r="E16" s="144" t="s">
        <v>1798</v>
      </c>
      <c r="F16" s="144" t="s">
        <v>1799</v>
      </c>
      <c r="G16" s="144" t="s">
        <v>1800</v>
      </c>
      <c r="H16" s="144" t="s">
        <v>1801</v>
      </c>
      <c r="I16" s="144" t="s">
        <v>44</v>
      </c>
      <c r="J16" s="145" t="s">
        <v>45</v>
      </c>
      <c r="K16" s="146"/>
      <c r="L16" s="19"/>
    </row>
    <row r="17" spans="1:12" ht="96.75" customHeight="1">
      <c r="A17" s="144" t="s">
        <v>1802</v>
      </c>
      <c r="B17" s="144" t="s">
        <v>1803</v>
      </c>
      <c r="C17" s="144" t="s">
        <v>1804</v>
      </c>
      <c r="D17" s="144" t="s">
        <v>1805</v>
      </c>
      <c r="E17" s="144" t="s">
        <v>1806</v>
      </c>
      <c r="F17" s="144" t="s">
        <v>1807</v>
      </c>
      <c r="G17" s="144" t="s">
        <v>1808</v>
      </c>
      <c r="H17" s="144" t="s">
        <v>1809</v>
      </c>
      <c r="I17" s="144" t="s">
        <v>44</v>
      </c>
      <c r="J17" s="145" t="s">
        <v>45</v>
      </c>
      <c r="K17" s="146"/>
      <c r="L17" s="19"/>
    </row>
    <row r="18" spans="1:12" ht="134.25" customHeight="1">
      <c r="A18" s="144" t="s">
        <v>1802</v>
      </c>
      <c r="B18" s="144" t="s">
        <v>1803</v>
      </c>
      <c r="C18" s="144" t="s">
        <v>1810</v>
      </c>
      <c r="D18" s="144" t="s">
        <v>1811</v>
      </c>
      <c r="E18" s="144" t="s">
        <v>1806</v>
      </c>
      <c r="F18" s="144" t="s">
        <v>1812</v>
      </c>
      <c r="G18" s="144" t="s">
        <v>1813</v>
      </c>
      <c r="H18" s="144" t="s">
        <v>1814</v>
      </c>
      <c r="I18" s="144" t="s">
        <v>44</v>
      </c>
      <c r="J18" s="145" t="s">
        <v>45</v>
      </c>
      <c r="K18" s="146"/>
      <c r="L18" s="19"/>
    </row>
    <row r="19" spans="1:12" ht="78" customHeight="1">
      <c r="A19" s="144" t="s">
        <v>1802</v>
      </c>
      <c r="B19" s="144" t="s">
        <v>1803</v>
      </c>
      <c r="C19" s="144" t="s">
        <v>1815</v>
      </c>
      <c r="D19" s="144" t="s">
        <v>1816</v>
      </c>
      <c r="E19" s="144" t="s">
        <v>1817</v>
      </c>
      <c r="F19" s="144" t="s">
        <v>1818</v>
      </c>
      <c r="G19" s="144" t="s">
        <v>1819</v>
      </c>
      <c r="H19" s="144" t="s">
        <v>1820</v>
      </c>
      <c r="I19" s="144" t="s">
        <v>51</v>
      </c>
      <c r="J19" s="145" t="s">
        <v>45</v>
      </c>
      <c r="K19" s="146"/>
      <c r="L19" s="19"/>
    </row>
    <row r="20" spans="1:12" ht="121.5" customHeight="1">
      <c r="A20" s="144" t="s">
        <v>1802</v>
      </c>
      <c r="B20" s="144" t="s">
        <v>1803</v>
      </c>
      <c r="C20" s="144" t="s">
        <v>1821</v>
      </c>
      <c r="D20" s="144" t="s">
        <v>1822</v>
      </c>
      <c r="E20" s="144" t="s">
        <v>1823</v>
      </c>
      <c r="F20" s="144" t="s">
        <v>1824</v>
      </c>
      <c r="G20" s="144" t="s">
        <v>1825</v>
      </c>
      <c r="H20" s="144" t="s">
        <v>1826</v>
      </c>
      <c r="I20" s="144" t="s">
        <v>51</v>
      </c>
      <c r="J20" s="145" t="s">
        <v>45</v>
      </c>
      <c r="K20" s="146"/>
      <c r="L20" s="19"/>
    </row>
    <row r="21" spans="1:12" ht="90.75" customHeight="1">
      <c r="A21" s="144" t="s">
        <v>1802</v>
      </c>
      <c r="B21" s="144" t="s">
        <v>1803</v>
      </c>
      <c r="C21" s="144" t="s">
        <v>1827</v>
      </c>
      <c r="D21" s="144" t="s">
        <v>1828</v>
      </c>
      <c r="E21" s="144" t="s">
        <v>1829</v>
      </c>
      <c r="F21" s="144" t="s">
        <v>1830</v>
      </c>
      <c r="G21" s="144" t="s">
        <v>1831</v>
      </c>
      <c r="H21" s="144" t="s">
        <v>1831</v>
      </c>
      <c r="I21" s="144" t="s">
        <v>51</v>
      </c>
      <c r="J21" s="145" t="s">
        <v>45</v>
      </c>
      <c r="K21" s="143" t="s">
        <v>1832</v>
      </c>
      <c r="L21" s="19"/>
    </row>
    <row r="22" spans="1:12" ht="75.75" customHeight="1">
      <c r="A22" s="144" t="s">
        <v>1802</v>
      </c>
      <c r="B22" s="144" t="s">
        <v>1803</v>
      </c>
      <c r="C22" s="144" t="s">
        <v>1833</v>
      </c>
      <c r="D22" s="144" t="s">
        <v>1834</v>
      </c>
      <c r="E22" s="144" t="s">
        <v>1773</v>
      </c>
      <c r="F22" s="144" t="s">
        <v>1835</v>
      </c>
      <c r="G22" s="144" t="s">
        <v>1836</v>
      </c>
      <c r="H22" s="144" t="s">
        <v>1837</v>
      </c>
      <c r="I22" s="144" t="s">
        <v>1838</v>
      </c>
      <c r="J22" s="145" t="s">
        <v>45</v>
      </c>
      <c r="K22" s="143" t="s">
        <v>1839</v>
      </c>
      <c r="L22" s="19"/>
    </row>
    <row r="23" spans="1:12" ht="108" customHeight="1">
      <c r="A23" s="144" t="s">
        <v>1840</v>
      </c>
      <c r="B23" s="144" t="s">
        <v>1841</v>
      </c>
      <c r="C23" s="144" t="s">
        <v>1842</v>
      </c>
      <c r="D23" s="144" t="s">
        <v>1843</v>
      </c>
      <c r="E23" s="144" t="s">
        <v>1773</v>
      </c>
      <c r="F23" s="144" t="s">
        <v>1844</v>
      </c>
      <c r="G23" s="144" t="s">
        <v>1845</v>
      </c>
      <c r="H23" s="144" t="s">
        <v>1846</v>
      </c>
      <c r="I23" s="144" t="s">
        <v>44</v>
      </c>
      <c r="J23" s="145" t="s">
        <v>45</v>
      </c>
      <c r="K23" s="146"/>
      <c r="L23" s="19"/>
    </row>
    <row r="24" spans="1:12" ht="129" customHeight="1">
      <c r="A24" s="144" t="s">
        <v>1840</v>
      </c>
      <c r="B24" s="144" t="s">
        <v>1841</v>
      </c>
      <c r="C24" s="144" t="s">
        <v>1847</v>
      </c>
      <c r="D24" s="144" t="s">
        <v>1848</v>
      </c>
      <c r="E24" s="144" t="s">
        <v>1849</v>
      </c>
      <c r="F24" s="144" t="s">
        <v>1850</v>
      </c>
      <c r="G24" s="144" t="s">
        <v>1851</v>
      </c>
      <c r="H24" s="144" t="s">
        <v>1852</v>
      </c>
      <c r="I24" s="144" t="s">
        <v>51</v>
      </c>
      <c r="J24" s="145" t="s">
        <v>45</v>
      </c>
      <c r="K24" s="146" t="s">
        <v>1853</v>
      </c>
      <c r="L24" s="19"/>
    </row>
    <row r="25" spans="1:12" ht="60.75" customHeight="1">
      <c r="A25" s="144" t="s">
        <v>1840</v>
      </c>
      <c r="B25" s="144" t="s">
        <v>1841</v>
      </c>
      <c r="C25" s="144" t="s">
        <v>1854</v>
      </c>
      <c r="D25" s="144" t="s">
        <v>1855</v>
      </c>
      <c r="E25" s="144" t="s">
        <v>1773</v>
      </c>
      <c r="F25" s="144" t="s">
        <v>1856</v>
      </c>
      <c r="G25" s="144" t="s">
        <v>1857</v>
      </c>
      <c r="H25" s="144" t="s">
        <v>1858</v>
      </c>
      <c r="I25" s="144" t="s">
        <v>44</v>
      </c>
      <c r="J25" s="145" t="s">
        <v>45</v>
      </c>
      <c r="K25" s="146"/>
      <c r="L25" s="19"/>
    </row>
    <row r="26" spans="1:12" ht="90.75" customHeight="1">
      <c r="A26" s="144" t="s">
        <v>1840</v>
      </c>
      <c r="B26" s="144" t="s">
        <v>1841</v>
      </c>
      <c r="C26" s="144" t="s">
        <v>1859</v>
      </c>
      <c r="D26" s="144" t="s">
        <v>1860</v>
      </c>
      <c r="E26" s="144" t="s">
        <v>1861</v>
      </c>
      <c r="F26" s="144" t="s">
        <v>1862</v>
      </c>
      <c r="G26" s="144" t="s">
        <v>1863</v>
      </c>
      <c r="H26" s="144" t="s">
        <v>1864</v>
      </c>
      <c r="I26" s="144" t="s">
        <v>51</v>
      </c>
      <c r="J26" s="145" t="s">
        <v>45</v>
      </c>
      <c r="K26" s="146"/>
      <c r="L26" s="19"/>
    </row>
    <row r="27" spans="1:12" ht="87.75" customHeight="1">
      <c r="A27" s="144" t="s">
        <v>1840</v>
      </c>
      <c r="B27" s="144" t="s">
        <v>1841</v>
      </c>
      <c r="C27" s="144" t="s">
        <v>1865</v>
      </c>
      <c r="D27" s="144" t="s">
        <v>1866</v>
      </c>
      <c r="E27" s="144" t="s">
        <v>1867</v>
      </c>
      <c r="F27" s="144" t="s">
        <v>1868</v>
      </c>
      <c r="G27" s="144" t="s">
        <v>1869</v>
      </c>
      <c r="H27" s="144" t="s">
        <v>1869</v>
      </c>
      <c r="I27" s="144" t="s">
        <v>51</v>
      </c>
      <c r="J27" s="145" t="s">
        <v>45</v>
      </c>
      <c r="K27" s="146"/>
      <c r="L27" s="19"/>
    </row>
    <row r="28" spans="1:12" ht="87.75" customHeight="1">
      <c r="A28" s="144" t="s">
        <v>1840</v>
      </c>
      <c r="B28" s="144" t="s">
        <v>1841</v>
      </c>
      <c r="C28" s="144" t="s">
        <v>1870</v>
      </c>
      <c r="D28" s="144" t="s">
        <v>1871</v>
      </c>
      <c r="E28" s="144" t="s">
        <v>1861</v>
      </c>
      <c r="F28" s="144" t="s">
        <v>1872</v>
      </c>
      <c r="G28" s="144" t="s">
        <v>1873</v>
      </c>
      <c r="H28" s="144" t="s">
        <v>1874</v>
      </c>
      <c r="I28" s="144" t="s">
        <v>51</v>
      </c>
      <c r="J28" s="145" t="s">
        <v>45</v>
      </c>
      <c r="K28" s="146"/>
      <c r="L28" s="19"/>
    </row>
    <row r="29" spans="1:12" ht="87.75" customHeight="1">
      <c r="A29" s="144" t="s">
        <v>1840</v>
      </c>
      <c r="B29" s="144" t="s">
        <v>1841</v>
      </c>
      <c r="C29" s="144" t="s">
        <v>1875</v>
      </c>
      <c r="D29" s="144" t="s">
        <v>1876</v>
      </c>
      <c r="E29" s="144" t="s">
        <v>1877</v>
      </c>
      <c r="F29" s="144" t="s">
        <v>1878</v>
      </c>
      <c r="G29" s="144" t="s">
        <v>1879</v>
      </c>
      <c r="H29" s="144" t="s">
        <v>1880</v>
      </c>
      <c r="I29" s="144" t="s">
        <v>51</v>
      </c>
      <c r="J29" s="145" t="s">
        <v>45</v>
      </c>
      <c r="K29" s="146"/>
      <c r="L29" s="19"/>
    </row>
    <row r="30" spans="1:12" ht="45">
      <c r="A30" s="144" t="s">
        <v>1881</v>
      </c>
      <c r="B30" s="144" t="s">
        <v>1882</v>
      </c>
      <c r="C30" s="144" t="s">
        <v>1883</v>
      </c>
      <c r="D30" s="144" t="s">
        <v>1884</v>
      </c>
      <c r="E30" s="144" t="s">
        <v>1773</v>
      </c>
      <c r="F30" s="144" t="s">
        <v>1885</v>
      </c>
      <c r="G30" s="144" t="s">
        <v>1886</v>
      </c>
      <c r="H30" s="144" t="s">
        <v>1887</v>
      </c>
      <c r="I30" s="144" t="s">
        <v>44</v>
      </c>
      <c r="J30" s="145" t="s">
        <v>45</v>
      </c>
      <c r="K30" s="146"/>
      <c r="L30" s="19"/>
    </row>
    <row r="31" spans="1:12" ht="133.5" customHeight="1">
      <c r="A31" s="144" t="s">
        <v>1881</v>
      </c>
      <c r="B31" s="144" t="s">
        <v>1882</v>
      </c>
      <c r="C31" s="144" t="s">
        <v>1888</v>
      </c>
      <c r="D31" s="144" t="s">
        <v>1889</v>
      </c>
      <c r="E31" s="144" t="s">
        <v>1890</v>
      </c>
      <c r="F31" s="144" t="s">
        <v>1891</v>
      </c>
      <c r="G31" s="144" t="s">
        <v>1892</v>
      </c>
      <c r="H31" s="144" t="s">
        <v>1893</v>
      </c>
      <c r="I31" s="144" t="s">
        <v>51</v>
      </c>
      <c r="J31" s="145" t="s">
        <v>45</v>
      </c>
      <c r="K31" s="146"/>
      <c r="L31" s="19"/>
    </row>
    <row r="32" spans="1:12" ht="113.25" customHeight="1">
      <c r="A32" s="144" t="s">
        <v>1881</v>
      </c>
      <c r="B32" s="144" t="s">
        <v>1882</v>
      </c>
      <c r="C32" s="144" t="s">
        <v>1894</v>
      </c>
      <c r="D32" s="144" t="s">
        <v>1895</v>
      </c>
      <c r="E32" s="144" t="s">
        <v>1896</v>
      </c>
      <c r="F32" s="144" t="s">
        <v>1897</v>
      </c>
      <c r="G32" s="144" t="s">
        <v>1898</v>
      </c>
      <c r="H32" s="144" t="s">
        <v>1898</v>
      </c>
      <c r="I32" s="144" t="s">
        <v>1838</v>
      </c>
      <c r="J32" s="145" t="s">
        <v>45</v>
      </c>
      <c r="K32" s="146"/>
      <c r="L32" s="19"/>
    </row>
    <row r="33" spans="1:12" ht="139.5" customHeight="1">
      <c r="A33" s="144" t="s">
        <v>1899</v>
      </c>
      <c r="B33" s="144" t="s">
        <v>1900</v>
      </c>
      <c r="C33" s="144" t="s">
        <v>1901</v>
      </c>
      <c r="D33" s="144" t="s">
        <v>1902</v>
      </c>
      <c r="E33" s="144" t="s">
        <v>1903</v>
      </c>
      <c r="F33" s="144" t="s">
        <v>1904</v>
      </c>
      <c r="G33" s="144" t="s">
        <v>1905</v>
      </c>
      <c r="H33" s="144" t="s">
        <v>1906</v>
      </c>
      <c r="I33" s="144" t="s">
        <v>51</v>
      </c>
      <c r="J33" s="145" t="s">
        <v>45</v>
      </c>
      <c r="K33" s="146"/>
      <c r="L33" s="19"/>
    </row>
    <row r="34" spans="1:12" ht="139.5" customHeight="1">
      <c r="A34" s="144" t="s">
        <v>1899</v>
      </c>
      <c r="B34" s="144" t="s">
        <v>1900</v>
      </c>
      <c r="C34" s="144" t="s">
        <v>1907</v>
      </c>
      <c r="D34" s="144" t="s">
        <v>1908</v>
      </c>
      <c r="E34" s="144" t="s">
        <v>1909</v>
      </c>
      <c r="F34" s="144" t="s">
        <v>1910</v>
      </c>
      <c r="G34" s="144" t="s">
        <v>1911</v>
      </c>
      <c r="H34" s="144" t="s">
        <v>1912</v>
      </c>
      <c r="I34" s="144" t="s">
        <v>44</v>
      </c>
      <c r="J34" s="145" t="s">
        <v>45</v>
      </c>
      <c r="K34" s="146"/>
      <c r="L34" s="19"/>
    </row>
    <row r="35" spans="1:12" ht="139.5" customHeight="1">
      <c r="A35" s="144" t="s">
        <v>1899</v>
      </c>
      <c r="B35" s="144" t="s">
        <v>1900</v>
      </c>
      <c r="C35" s="144" t="s">
        <v>1913</v>
      </c>
      <c r="D35" s="144" t="s">
        <v>1914</v>
      </c>
      <c r="E35" s="144" t="s">
        <v>1909</v>
      </c>
      <c r="F35" s="144" t="s">
        <v>1915</v>
      </c>
      <c r="G35" s="144" t="s">
        <v>1916</v>
      </c>
      <c r="H35" s="144" t="s">
        <v>1917</v>
      </c>
      <c r="I35" s="144" t="s">
        <v>51</v>
      </c>
      <c r="J35" s="145" t="s">
        <v>45</v>
      </c>
      <c r="K35" s="146"/>
      <c r="L35" s="19"/>
    </row>
    <row r="36" spans="1:12" ht="139.5" customHeight="1">
      <c r="A36" s="144" t="s">
        <v>1899</v>
      </c>
      <c r="B36" s="144" t="s">
        <v>1900</v>
      </c>
      <c r="C36" s="144" t="s">
        <v>1918</v>
      </c>
      <c r="D36" s="144" t="s">
        <v>1919</v>
      </c>
      <c r="E36" s="144" t="s">
        <v>1909</v>
      </c>
      <c r="F36" s="144" t="s">
        <v>1920</v>
      </c>
      <c r="G36" s="144" t="s">
        <v>1921</v>
      </c>
      <c r="H36" s="144" t="s">
        <v>1922</v>
      </c>
      <c r="I36" s="144" t="s">
        <v>51</v>
      </c>
      <c r="J36" s="145" t="s">
        <v>45</v>
      </c>
      <c r="K36" s="146"/>
      <c r="L36" s="19"/>
    </row>
    <row r="37" spans="1:12" ht="139.5" customHeight="1">
      <c r="A37" s="144" t="s">
        <v>1899</v>
      </c>
      <c r="B37" s="144" t="s">
        <v>1900</v>
      </c>
      <c r="C37" s="144" t="s">
        <v>1923</v>
      </c>
      <c r="D37" s="144" t="s">
        <v>1924</v>
      </c>
      <c r="E37" s="144" t="s">
        <v>1925</v>
      </c>
      <c r="F37" s="144" t="s">
        <v>1926</v>
      </c>
      <c r="G37" s="144" t="s">
        <v>1927</v>
      </c>
      <c r="H37" s="144" t="s">
        <v>1928</v>
      </c>
      <c r="I37" s="144" t="s">
        <v>51</v>
      </c>
      <c r="J37" s="145" t="s">
        <v>45</v>
      </c>
      <c r="K37" s="146"/>
      <c r="L37" s="19"/>
    </row>
    <row r="38" spans="1:12" ht="60">
      <c r="A38" s="144" t="s">
        <v>1899</v>
      </c>
      <c r="B38" s="144" t="s">
        <v>1900</v>
      </c>
      <c r="C38" s="144" t="s">
        <v>1929</v>
      </c>
      <c r="D38" s="144" t="s">
        <v>1930</v>
      </c>
      <c r="E38" s="144" t="s">
        <v>1931</v>
      </c>
      <c r="F38" s="144" t="s">
        <v>1932</v>
      </c>
      <c r="G38" s="144" t="s">
        <v>1933</v>
      </c>
      <c r="H38" s="144" t="s">
        <v>1934</v>
      </c>
      <c r="I38" s="144" t="s">
        <v>51</v>
      </c>
      <c r="J38" s="145" t="s">
        <v>45</v>
      </c>
      <c r="K38" s="146"/>
      <c r="L38" s="19"/>
    </row>
    <row r="39" spans="1:12" ht="128.25" customHeight="1">
      <c r="A39" s="144" t="s">
        <v>1899</v>
      </c>
      <c r="B39" s="144" t="s">
        <v>1900</v>
      </c>
      <c r="C39" s="144" t="s">
        <v>1935</v>
      </c>
      <c r="D39" s="144" t="s">
        <v>1936</v>
      </c>
      <c r="E39" s="144" t="s">
        <v>1937</v>
      </c>
      <c r="F39" s="144" t="s">
        <v>1938</v>
      </c>
      <c r="G39" s="144" t="s">
        <v>1939</v>
      </c>
      <c r="H39" s="144" t="s">
        <v>1940</v>
      </c>
      <c r="I39" s="144" t="s">
        <v>51</v>
      </c>
      <c r="J39" s="145" t="s">
        <v>45</v>
      </c>
      <c r="K39" s="146"/>
      <c r="L39" s="19"/>
    </row>
    <row r="40" spans="1:12" ht="128.25" customHeight="1">
      <c r="A40" s="144" t="s">
        <v>1941</v>
      </c>
      <c r="B40" s="144" t="s">
        <v>1942</v>
      </c>
      <c r="C40" s="144" t="s">
        <v>1943</v>
      </c>
      <c r="D40" s="144" t="s">
        <v>1944</v>
      </c>
      <c r="E40" s="144" t="s">
        <v>1945</v>
      </c>
      <c r="F40" s="144" t="s">
        <v>1946</v>
      </c>
      <c r="G40" s="144" t="s">
        <v>1947</v>
      </c>
      <c r="H40" s="144" t="s">
        <v>1948</v>
      </c>
      <c r="I40" s="144" t="s">
        <v>51</v>
      </c>
      <c r="J40" s="145" t="s">
        <v>45</v>
      </c>
      <c r="K40" s="146"/>
      <c r="L40" s="19"/>
    </row>
    <row r="41" spans="1:12" ht="128.25" customHeight="1">
      <c r="A41" s="144" t="s">
        <v>1941</v>
      </c>
      <c r="B41" s="144" t="s">
        <v>1942</v>
      </c>
      <c r="C41" s="144" t="s">
        <v>1949</v>
      </c>
      <c r="D41" s="144" t="s">
        <v>1950</v>
      </c>
      <c r="E41" s="144" t="s">
        <v>1951</v>
      </c>
      <c r="F41" s="144" t="s">
        <v>1952</v>
      </c>
      <c r="G41" s="144" t="s">
        <v>1953</v>
      </c>
      <c r="H41" s="144" t="s">
        <v>1954</v>
      </c>
      <c r="I41" s="144" t="s">
        <v>44</v>
      </c>
      <c r="J41" s="145" t="s">
        <v>45</v>
      </c>
      <c r="K41" s="146"/>
      <c r="L41" s="19"/>
    </row>
    <row r="42" spans="1:12" ht="128.25" customHeight="1">
      <c r="A42" s="144" t="s">
        <v>1941</v>
      </c>
      <c r="B42" s="144" t="s">
        <v>1942</v>
      </c>
      <c r="C42" s="144" t="s">
        <v>1955</v>
      </c>
      <c r="D42" s="144" t="s">
        <v>1956</v>
      </c>
      <c r="E42" s="144" t="s">
        <v>1957</v>
      </c>
      <c r="F42" s="144" t="s">
        <v>1958</v>
      </c>
      <c r="G42" s="144" t="s">
        <v>1959</v>
      </c>
      <c r="H42" s="144" t="s">
        <v>1960</v>
      </c>
      <c r="I42" s="144" t="s">
        <v>51</v>
      </c>
      <c r="J42" s="145" t="s">
        <v>45</v>
      </c>
      <c r="K42" s="146"/>
      <c r="L42" s="19"/>
    </row>
    <row r="43" spans="1:12" ht="124.5" customHeight="1">
      <c r="A43" s="144" t="s">
        <v>1941</v>
      </c>
      <c r="B43" s="144" t="s">
        <v>1942</v>
      </c>
      <c r="C43" s="144" t="s">
        <v>1961</v>
      </c>
      <c r="D43" s="144" t="s">
        <v>1962</v>
      </c>
      <c r="E43" s="144" t="s">
        <v>1963</v>
      </c>
      <c r="F43" s="144" t="s">
        <v>1964</v>
      </c>
      <c r="G43" s="144" t="s">
        <v>1965</v>
      </c>
      <c r="H43" s="144" t="s">
        <v>1965</v>
      </c>
      <c r="I43" s="144" t="s">
        <v>1838</v>
      </c>
      <c r="J43" s="145" t="s">
        <v>45</v>
      </c>
      <c r="K43" s="146"/>
      <c r="L43" s="19"/>
    </row>
    <row r="44" spans="1:12" ht="124.5" customHeight="1">
      <c r="A44" s="144" t="s">
        <v>1966</v>
      </c>
      <c r="B44" s="144" t="s">
        <v>1967</v>
      </c>
      <c r="C44" s="144" t="s">
        <v>1968</v>
      </c>
      <c r="D44" s="144" t="s">
        <v>1969</v>
      </c>
      <c r="E44" s="144" t="s">
        <v>1970</v>
      </c>
      <c r="F44" s="144" t="s">
        <v>1971</v>
      </c>
      <c r="G44" s="144" t="s">
        <v>1972</v>
      </c>
      <c r="H44" s="144" t="s">
        <v>1973</v>
      </c>
      <c r="I44" s="144" t="s">
        <v>51</v>
      </c>
      <c r="J44" s="145" t="s">
        <v>45</v>
      </c>
      <c r="K44" s="146"/>
      <c r="L44" s="29"/>
    </row>
    <row r="45" spans="1:12" ht="173.25" customHeight="1">
      <c r="A45" s="144" t="s">
        <v>1966</v>
      </c>
      <c r="B45" s="144" t="s">
        <v>1967</v>
      </c>
      <c r="C45" s="144" t="s">
        <v>1974</v>
      </c>
      <c r="D45" s="144" t="s">
        <v>1975</v>
      </c>
      <c r="E45" s="144" t="s">
        <v>1976</v>
      </c>
      <c r="F45" s="144" t="s">
        <v>1977</v>
      </c>
      <c r="G45" s="144" t="s">
        <v>1978</v>
      </c>
      <c r="H45" s="144" t="s">
        <v>1979</v>
      </c>
      <c r="I45" s="144" t="s">
        <v>44</v>
      </c>
      <c r="J45" s="145" t="s">
        <v>45</v>
      </c>
      <c r="K45" s="146"/>
      <c r="L45" s="29"/>
    </row>
    <row r="46" spans="1:12" ht="173.25" customHeight="1">
      <c r="A46" s="144" t="s">
        <v>1966</v>
      </c>
      <c r="B46" s="144" t="s">
        <v>1967</v>
      </c>
      <c r="C46" s="144" t="s">
        <v>1980</v>
      </c>
      <c r="D46" s="144" t="s">
        <v>1981</v>
      </c>
      <c r="E46" s="144" t="s">
        <v>1976</v>
      </c>
      <c r="F46" s="144" t="s">
        <v>1982</v>
      </c>
      <c r="G46" s="144" t="s">
        <v>1983</v>
      </c>
      <c r="H46" s="144" t="s">
        <v>1984</v>
      </c>
      <c r="I46" s="144" t="s">
        <v>44</v>
      </c>
      <c r="J46" s="145" t="s">
        <v>45</v>
      </c>
      <c r="K46" s="146"/>
      <c r="L46" s="29"/>
    </row>
    <row r="47" spans="1:12" ht="173.25" customHeight="1">
      <c r="A47" s="144" t="s">
        <v>1966</v>
      </c>
      <c r="B47" s="144" t="s">
        <v>1967</v>
      </c>
      <c r="C47" s="144" t="s">
        <v>1985</v>
      </c>
      <c r="D47" s="144" t="s">
        <v>1986</v>
      </c>
      <c r="E47" s="144" t="s">
        <v>1976</v>
      </c>
      <c r="F47" s="144" t="s">
        <v>1987</v>
      </c>
      <c r="G47" s="144" t="s">
        <v>1988</v>
      </c>
      <c r="H47" s="144" t="s">
        <v>1989</v>
      </c>
      <c r="I47" s="144" t="s">
        <v>44</v>
      </c>
      <c r="J47" s="145" t="s">
        <v>45</v>
      </c>
      <c r="K47" s="146"/>
      <c r="L47" s="29"/>
    </row>
    <row r="48" spans="1:12" ht="173.25" customHeight="1">
      <c r="A48" s="144" t="s">
        <v>1966</v>
      </c>
      <c r="B48" s="144" t="s">
        <v>1967</v>
      </c>
      <c r="C48" s="144" t="s">
        <v>1990</v>
      </c>
      <c r="D48" s="144" t="s">
        <v>1991</v>
      </c>
      <c r="E48" s="144" t="s">
        <v>1976</v>
      </c>
      <c r="F48" s="144" t="s">
        <v>1992</v>
      </c>
      <c r="G48" s="144" t="s">
        <v>1993</v>
      </c>
      <c r="H48" s="144" t="s">
        <v>1994</v>
      </c>
      <c r="I48" s="144" t="s">
        <v>44</v>
      </c>
      <c r="J48" s="145" t="s">
        <v>45</v>
      </c>
      <c r="K48" s="146"/>
      <c r="L48" s="29"/>
    </row>
    <row r="49" spans="1:12" ht="173.25" customHeight="1">
      <c r="A49" s="144" t="s">
        <v>1966</v>
      </c>
      <c r="B49" s="144" t="s">
        <v>1967</v>
      </c>
      <c r="C49" s="144" t="s">
        <v>1995</v>
      </c>
      <c r="D49" s="144" t="s">
        <v>1996</v>
      </c>
      <c r="E49" s="144" t="s">
        <v>1976</v>
      </c>
      <c r="F49" s="144" t="s">
        <v>1997</v>
      </c>
      <c r="G49" s="144" t="s">
        <v>1998</v>
      </c>
      <c r="H49" s="144" t="s">
        <v>1999</v>
      </c>
      <c r="I49" s="144" t="s">
        <v>44</v>
      </c>
      <c r="J49" s="145" t="s">
        <v>45</v>
      </c>
      <c r="K49" s="146"/>
      <c r="L49" s="29"/>
    </row>
    <row r="50" spans="1:12" ht="173.25" customHeight="1">
      <c r="A50" s="144" t="s">
        <v>1966</v>
      </c>
      <c r="B50" s="144" t="s">
        <v>1967</v>
      </c>
      <c r="C50" s="144" t="s">
        <v>2000</v>
      </c>
      <c r="D50" s="144" t="s">
        <v>2001</v>
      </c>
      <c r="E50" s="144" t="s">
        <v>2002</v>
      </c>
      <c r="F50" s="144" t="s">
        <v>2003</v>
      </c>
      <c r="G50" s="144" t="s">
        <v>2004</v>
      </c>
      <c r="H50" s="144" t="s">
        <v>2005</v>
      </c>
      <c r="I50" s="144" t="s">
        <v>51</v>
      </c>
      <c r="J50" s="145" t="s">
        <v>45</v>
      </c>
      <c r="K50" s="146"/>
      <c r="L50" s="29"/>
    </row>
    <row r="51" spans="1:12" ht="173.25" customHeight="1">
      <c r="A51" s="144" t="s">
        <v>1966</v>
      </c>
      <c r="B51" s="144" t="s">
        <v>1967</v>
      </c>
      <c r="C51" s="144" t="s">
        <v>2006</v>
      </c>
      <c r="D51" s="144" t="s">
        <v>2007</v>
      </c>
      <c r="E51" s="144" t="s">
        <v>1976</v>
      </c>
      <c r="F51" s="144" t="s">
        <v>2008</v>
      </c>
      <c r="G51" s="144" t="s">
        <v>2009</v>
      </c>
      <c r="H51" s="144" t="s">
        <v>2010</v>
      </c>
      <c r="I51" s="144" t="s">
        <v>44</v>
      </c>
      <c r="J51" s="145" t="s">
        <v>45</v>
      </c>
      <c r="K51" s="146"/>
      <c r="L51" s="29"/>
    </row>
    <row r="52" spans="1:12" ht="45">
      <c r="A52" s="144" t="s">
        <v>1966</v>
      </c>
      <c r="B52" s="144" t="s">
        <v>1967</v>
      </c>
      <c r="C52" s="144" t="s">
        <v>2011</v>
      </c>
      <c r="D52" s="144" t="s">
        <v>2012</v>
      </c>
      <c r="E52" s="144" t="s">
        <v>1976</v>
      </c>
      <c r="F52" s="144" t="s">
        <v>2013</v>
      </c>
      <c r="G52" s="144" t="s">
        <v>2014</v>
      </c>
      <c r="H52" s="144" t="s">
        <v>2015</v>
      </c>
      <c r="I52" s="144" t="s">
        <v>51</v>
      </c>
      <c r="J52" s="145" t="s">
        <v>45</v>
      </c>
      <c r="K52" s="146"/>
      <c r="L52" s="29"/>
    </row>
    <row r="53" spans="1:12" ht="117.75" customHeight="1">
      <c r="A53" s="144" t="s">
        <v>1966</v>
      </c>
      <c r="B53" s="144" t="s">
        <v>1967</v>
      </c>
      <c r="C53" s="144" t="s">
        <v>2016</v>
      </c>
      <c r="D53" s="144" t="s">
        <v>2017</v>
      </c>
      <c r="E53" s="144" t="s">
        <v>2018</v>
      </c>
      <c r="F53" s="144" t="s">
        <v>2019</v>
      </c>
      <c r="G53" s="144" t="s">
        <v>2020</v>
      </c>
      <c r="H53" s="144" t="s">
        <v>2020</v>
      </c>
      <c r="I53" s="144" t="s">
        <v>51</v>
      </c>
      <c r="J53" s="145" t="s">
        <v>45</v>
      </c>
      <c r="K53" s="146"/>
      <c r="L53" s="29"/>
    </row>
    <row r="54" spans="1:12" ht="78" customHeight="1">
      <c r="A54" s="144" t="s">
        <v>1966</v>
      </c>
      <c r="B54" s="144" t="s">
        <v>1967</v>
      </c>
      <c r="C54" s="144" t="s">
        <v>2021</v>
      </c>
      <c r="D54" s="144" t="s">
        <v>2022</v>
      </c>
      <c r="E54" s="144" t="s">
        <v>1976</v>
      </c>
      <c r="F54" s="144" t="s">
        <v>2023</v>
      </c>
      <c r="G54" s="144" t="s">
        <v>2024</v>
      </c>
      <c r="H54" s="144" t="s">
        <v>2025</v>
      </c>
      <c r="I54" s="144" t="s">
        <v>44</v>
      </c>
      <c r="J54" s="145" t="s">
        <v>45</v>
      </c>
      <c r="K54" s="146" t="s">
        <v>2026</v>
      </c>
      <c r="L54" s="29"/>
    </row>
    <row r="55" spans="1:12" ht="78" customHeight="1">
      <c r="A55" s="144" t="s">
        <v>1966</v>
      </c>
      <c r="B55" s="144" t="s">
        <v>1967</v>
      </c>
      <c r="C55" s="144" t="s">
        <v>2027</v>
      </c>
      <c r="D55" s="144" t="s">
        <v>2028</v>
      </c>
      <c r="E55" s="144" t="s">
        <v>1976</v>
      </c>
      <c r="F55" s="144" t="s">
        <v>2029</v>
      </c>
      <c r="G55" s="144" t="s">
        <v>2030</v>
      </c>
      <c r="H55" s="144" t="s">
        <v>2030</v>
      </c>
      <c r="I55" s="144" t="s">
        <v>51</v>
      </c>
      <c r="J55" s="145" t="s">
        <v>45</v>
      </c>
      <c r="K55" s="146"/>
    </row>
    <row r="56" spans="1:12" ht="59.25" customHeight="1">
      <c r="A56" s="144" t="s">
        <v>1966</v>
      </c>
      <c r="B56" s="144" t="s">
        <v>1967</v>
      </c>
      <c r="C56" s="144" t="s">
        <v>2031</v>
      </c>
      <c r="D56" s="144" t="s">
        <v>2032</v>
      </c>
      <c r="E56" s="144" t="s">
        <v>1976</v>
      </c>
      <c r="F56" s="144" t="s">
        <v>2033</v>
      </c>
      <c r="G56" s="144" t="s">
        <v>2034</v>
      </c>
      <c r="H56" s="144" t="s">
        <v>2035</v>
      </c>
      <c r="I56" s="144" t="s">
        <v>51</v>
      </c>
      <c r="J56" s="145" t="s">
        <v>45</v>
      </c>
      <c r="K56" s="146"/>
    </row>
    <row r="57" spans="1:12" ht="98.25" customHeight="1">
      <c r="A57" s="144" t="s">
        <v>2036</v>
      </c>
      <c r="B57" s="144" t="s">
        <v>2037</v>
      </c>
      <c r="C57" s="144" t="s">
        <v>2038</v>
      </c>
      <c r="D57" s="144" t="s">
        <v>2039</v>
      </c>
      <c r="E57" s="144" t="s">
        <v>2040</v>
      </c>
      <c r="F57" s="144" t="s">
        <v>2041</v>
      </c>
      <c r="G57" s="144" t="s">
        <v>2042</v>
      </c>
      <c r="H57" s="144" t="s">
        <v>2043</v>
      </c>
      <c r="I57" s="144" t="s">
        <v>44</v>
      </c>
      <c r="J57" s="145" t="s">
        <v>45</v>
      </c>
      <c r="K57" s="146"/>
    </row>
    <row r="58" spans="1:12" ht="30">
      <c r="A58" s="144" t="s">
        <v>2036</v>
      </c>
      <c r="B58" s="144" t="s">
        <v>2037</v>
      </c>
      <c r="C58" s="144" t="s">
        <v>2044</v>
      </c>
      <c r="D58" s="144" t="s">
        <v>2045</v>
      </c>
      <c r="E58" s="144" t="s">
        <v>2046</v>
      </c>
      <c r="F58" s="144" t="s">
        <v>2047</v>
      </c>
      <c r="G58" s="144" t="s">
        <v>2048</v>
      </c>
      <c r="H58" s="144" t="s">
        <v>2049</v>
      </c>
      <c r="I58" s="144" t="s">
        <v>44</v>
      </c>
      <c r="J58" s="145" t="s">
        <v>45</v>
      </c>
      <c r="K58" s="146"/>
    </row>
    <row r="59" spans="1:12" ht="60">
      <c r="A59" s="144" t="s">
        <v>2036</v>
      </c>
      <c r="B59" s="144" t="s">
        <v>2037</v>
      </c>
      <c r="C59" s="144" t="s">
        <v>2050</v>
      </c>
      <c r="D59" s="144" t="s">
        <v>2051</v>
      </c>
      <c r="E59" s="144" t="s">
        <v>2046</v>
      </c>
      <c r="F59" s="144" t="s">
        <v>2052</v>
      </c>
      <c r="G59" s="144" t="s">
        <v>2053</v>
      </c>
      <c r="H59" s="144" t="s">
        <v>2054</v>
      </c>
      <c r="I59" s="144" t="s">
        <v>1041</v>
      </c>
      <c r="J59" s="147" t="s">
        <v>2055</v>
      </c>
      <c r="K59" s="146" t="s">
        <v>2056</v>
      </c>
    </row>
    <row r="60" spans="1:12" ht="45">
      <c r="A60" s="144" t="s">
        <v>2036</v>
      </c>
      <c r="B60" s="144" t="s">
        <v>2037</v>
      </c>
      <c r="C60" s="144" t="s">
        <v>2057</v>
      </c>
      <c r="D60" s="144" t="s">
        <v>2058</v>
      </c>
      <c r="E60" s="144" t="s">
        <v>2046</v>
      </c>
      <c r="F60" s="144" t="s">
        <v>2059</v>
      </c>
      <c r="G60" s="144" t="s">
        <v>2060</v>
      </c>
      <c r="H60" s="144" t="s">
        <v>2061</v>
      </c>
      <c r="I60" s="144" t="s">
        <v>44</v>
      </c>
      <c r="J60" s="145" t="s">
        <v>45</v>
      </c>
      <c r="K60" s="146"/>
    </row>
    <row r="61" spans="1:12" ht="30">
      <c r="A61" s="144" t="s">
        <v>2036</v>
      </c>
      <c r="B61" s="144" t="s">
        <v>2037</v>
      </c>
      <c r="C61" s="144" t="s">
        <v>2062</v>
      </c>
      <c r="D61" s="144" t="s">
        <v>2063</v>
      </c>
      <c r="E61" s="144" t="s">
        <v>2046</v>
      </c>
      <c r="F61" s="144" t="s">
        <v>2064</v>
      </c>
      <c r="G61" s="144" t="s">
        <v>2065</v>
      </c>
      <c r="H61" s="144" t="s">
        <v>2066</v>
      </c>
      <c r="I61" s="144" t="s">
        <v>44</v>
      </c>
      <c r="J61" s="145" t="s">
        <v>45</v>
      </c>
      <c r="K61" s="146"/>
    </row>
    <row r="62" spans="1:12" ht="30">
      <c r="A62" s="144" t="s">
        <v>2036</v>
      </c>
      <c r="B62" s="144" t="s">
        <v>2037</v>
      </c>
      <c r="C62" s="144" t="s">
        <v>2067</v>
      </c>
      <c r="D62" s="144" t="s">
        <v>2068</v>
      </c>
      <c r="E62" s="144" t="s">
        <v>2046</v>
      </c>
      <c r="F62" s="144" t="s">
        <v>2069</v>
      </c>
      <c r="G62" s="144" t="s">
        <v>2070</v>
      </c>
      <c r="H62" s="144" t="s">
        <v>2071</v>
      </c>
      <c r="I62" s="144" t="s">
        <v>44</v>
      </c>
      <c r="J62" s="145" t="s">
        <v>45</v>
      </c>
      <c r="K62" s="146"/>
    </row>
    <row r="63" spans="1:12" ht="30">
      <c r="A63" s="144" t="s">
        <v>2072</v>
      </c>
      <c r="B63" s="144" t="s">
        <v>2073</v>
      </c>
      <c r="C63" s="144" t="s">
        <v>2074</v>
      </c>
      <c r="D63" s="144" t="s">
        <v>2075</v>
      </c>
      <c r="E63" s="144" t="s">
        <v>2076</v>
      </c>
      <c r="F63" s="144" t="s">
        <v>2077</v>
      </c>
      <c r="G63" s="144" t="s">
        <v>2078</v>
      </c>
      <c r="H63" s="144" t="s">
        <v>2079</v>
      </c>
      <c r="I63" s="144" t="s">
        <v>44</v>
      </c>
      <c r="J63" s="145" t="s">
        <v>45</v>
      </c>
      <c r="K63" s="146"/>
    </row>
    <row r="64" spans="1:12" ht="45">
      <c r="A64" s="144" t="s">
        <v>2072</v>
      </c>
      <c r="B64" s="144" t="s">
        <v>2073</v>
      </c>
      <c r="C64" s="144" t="s">
        <v>2080</v>
      </c>
      <c r="D64" s="144" t="s">
        <v>2081</v>
      </c>
      <c r="E64" s="144" t="s">
        <v>2082</v>
      </c>
      <c r="F64" s="144" t="s">
        <v>2083</v>
      </c>
      <c r="G64" s="144" t="s">
        <v>2084</v>
      </c>
      <c r="H64" s="144" t="s">
        <v>2085</v>
      </c>
      <c r="I64" s="144" t="s">
        <v>51</v>
      </c>
      <c r="J64" s="145" t="s">
        <v>45</v>
      </c>
      <c r="K64" s="146"/>
    </row>
    <row r="65" spans="1:11" ht="60">
      <c r="A65" s="144" t="s">
        <v>2072</v>
      </c>
      <c r="B65" s="144" t="s">
        <v>2073</v>
      </c>
      <c r="C65" s="144" t="s">
        <v>2086</v>
      </c>
      <c r="D65" s="144" t="s">
        <v>2087</v>
      </c>
      <c r="E65" s="144" t="s">
        <v>2088</v>
      </c>
      <c r="F65" s="144" t="s">
        <v>2089</v>
      </c>
      <c r="G65" s="144" t="s">
        <v>2090</v>
      </c>
      <c r="H65" s="144" t="s">
        <v>2091</v>
      </c>
      <c r="I65" s="144" t="s">
        <v>44</v>
      </c>
      <c r="J65" s="145" t="s">
        <v>45</v>
      </c>
      <c r="K65" s="146"/>
    </row>
    <row r="66" spans="1:11" ht="30">
      <c r="A66" s="144" t="s">
        <v>2072</v>
      </c>
      <c r="B66" s="144" t="s">
        <v>2073</v>
      </c>
      <c r="C66" s="144" t="s">
        <v>2092</v>
      </c>
      <c r="D66" s="144" t="s">
        <v>2093</v>
      </c>
      <c r="E66" s="144" t="s">
        <v>2094</v>
      </c>
      <c r="F66" s="144" t="s">
        <v>2095</v>
      </c>
      <c r="G66" s="144" t="s">
        <v>2096</v>
      </c>
      <c r="H66" s="144" t="s">
        <v>2097</v>
      </c>
      <c r="I66" s="144" t="s">
        <v>44</v>
      </c>
      <c r="J66" s="145" t="s">
        <v>45</v>
      </c>
      <c r="K66" s="146"/>
    </row>
    <row r="67" spans="1:11" ht="30">
      <c r="A67" s="144" t="s">
        <v>2072</v>
      </c>
      <c r="B67" s="144" t="s">
        <v>2073</v>
      </c>
      <c r="C67" s="144" t="s">
        <v>2098</v>
      </c>
      <c r="D67" s="144" t="s">
        <v>2099</v>
      </c>
      <c r="E67" s="144" t="s">
        <v>2100</v>
      </c>
      <c r="F67" s="144" t="s">
        <v>2101</v>
      </c>
      <c r="G67" s="144" t="s">
        <v>2102</v>
      </c>
      <c r="H67" s="144" t="s">
        <v>2103</v>
      </c>
      <c r="I67" s="144" t="s">
        <v>1041</v>
      </c>
      <c r="J67" s="145" t="s">
        <v>45</v>
      </c>
      <c r="K67" s="146"/>
    </row>
    <row r="68" spans="1:11" ht="45">
      <c r="A68" s="144" t="s">
        <v>2072</v>
      </c>
      <c r="B68" s="144" t="s">
        <v>2073</v>
      </c>
      <c r="C68" s="144" t="s">
        <v>2104</v>
      </c>
      <c r="D68" s="144" t="s">
        <v>2105</v>
      </c>
      <c r="E68" s="144" t="s">
        <v>2106</v>
      </c>
      <c r="F68" s="144" t="s">
        <v>2107</v>
      </c>
      <c r="G68" s="144" t="s">
        <v>2108</v>
      </c>
      <c r="H68" s="144" t="s">
        <v>2109</v>
      </c>
      <c r="I68" s="144" t="s">
        <v>51</v>
      </c>
      <c r="J68" s="145" t="s">
        <v>45</v>
      </c>
      <c r="K68" s="146"/>
    </row>
    <row r="69" spans="1:11" ht="30">
      <c r="A69" s="144" t="s">
        <v>2072</v>
      </c>
      <c r="B69" s="144" t="s">
        <v>2073</v>
      </c>
      <c r="C69" s="144" t="s">
        <v>2110</v>
      </c>
      <c r="D69" s="144" t="s">
        <v>2111</v>
      </c>
      <c r="E69" s="144" t="s">
        <v>2112</v>
      </c>
      <c r="F69" s="144" t="s">
        <v>2113</v>
      </c>
      <c r="G69" s="144" t="s">
        <v>2114</v>
      </c>
      <c r="H69" s="144" t="s">
        <v>2114</v>
      </c>
      <c r="I69" s="144" t="s">
        <v>1041</v>
      </c>
      <c r="J69" s="145" t="s">
        <v>45</v>
      </c>
      <c r="K69" s="146"/>
    </row>
    <row r="70" spans="1:11" ht="120.75" customHeight="1">
      <c r="A70" s="144" t="s">
        <v>2072</v>
      </c>
      <c r="B70" s="144" t="s">
        <v>2073</v>
      </c>
      <c r="C70" s="144" t="s">
        <v>2115</v>
      </c>
      <c r="D70" s="144" t="s">
        <v>2116</v>
      </c>
      <c r="E70" s="144" t="s">
        <v>2112</v>
      </c>
      <c r="F70" s="144" t="s">
        <v>2117</v>
      </c>
      <c r="G70" s="144" t="s">
        <v>2118</v>
      </c>
      <c r="H70" s="144" t="s">
        <v>2119</v>
      </c>
      <c r="I70" s="144" t="s">
        <v>1041</v>
      </c>
      <c r="J70" s="145" t="s">
        <v>45</v>
      </c>
      <c r="K70" s="146"/>
    </row>
    <row r="71" spans="1:11" ht="75">
      <c r="A71" s="144" t="s">
        <v>2072</v>
      </c>
      <c r="B71" s="144" t="s">
        <v>2073</v>
      </c>
      <c r="C71" s="144" t="s">
        <v>2120</v>
      </c>
      <c r="D71" s="144" t="s">
        <v>2121</v>
      </c>
      <c r="E71" s="144" t="s">
        <v>2122</v>
      </c>
      <c r="F71" s="144" t="s">
        <v>2123</v>
      </c>
      <c r="G71" s="144" t="s">
        <v>2124</v>
      </c>
      <c r="H71" s="144" t="s">
        <v>2124</v>
      </c>
      <c r="I71" s="144" t="s">
        <v>1041</v>
      </c>
      <c r="J71" s="145" t="s">
        <v>45</v>
      </c>
      <c r="K71" s="146"/>
    </row>
    <row r="72" spans="1:11" ht="30">
      <c r="A72" s="144" t="s">
        <v>2125</v>
      </c>
      <c r="B72" s="144" t="s">
        <v>2126</v>
      </c>
      <c r="C72" s="144" t="s">
        <v>2127</v>
      </c>
      <c r="D72" s="144" t="s">
        <v>2128</v>
      </c>
      <c r="E72" s="144" t="s">
        <v>2129</v>
      </c>
      <c r="F72" s="144" t="s">
        <v>2130</v>
      </c>
      <c r="G72" s="144" t="s">
        <v>2131</v>
      </c>
      <c r="H72" s="144" t="s">
        <v>2132</v>
      </c>
      <c r="I72" s="144" t="s">
        <v>44</v>
      </c>
      <c r="J72" s="145" t="s">
        <v>45</v>
      </c>
      <c r="K72" s="146"/>
    </row>
    <row r="73" spans="1:11" ht="30">
      <c r="A73" s="144" t="s">
        <v>2125</v>
      </c>
      <c r="B73" s="144" t="s">
        <v>2126</v>
      </c>
      <c r="C73" s="144" t="s">
        <v>2133</v>
      </c>
      <c r="D73" s="144" t="s">
        <v>2134</v>
      </c>
      <c r="E73" s="144" t="s">
        <v>2135</v>
      </c>
      <c r="F73" s="144" t="s">
        <v>2136</v>
      </c>
      <c r="G73" s="144" t="s">
        <v>2137</v>
      </c>
      <c r="H73" s="144" t="s">
        <v>2138</v>
      </c>
      <c r="I73" s="144" t="s">
        <v>44</v>
      </c>
      <c r="J73" s="145" t="s">
        <v>45</v>
      </c>
      <c r="K73" s="146"/>
    </row>
    <row r="74" spans="1:11" ht="60">
      <c r="A74" s="144" t="s">
        <v>2125</v>
      </c>
      <c r="B74" s="144" t="s">
        <v>2126</v>
      </c>
      <c r="C74" s="144" t="s">
        <v>2139</v>
      </c>
      <c r="D74" s="144" t="s">
        <v>2140</v>
      </c>
      <c r="E74" s="144" t="s">
        <v>2135</v>
      </c>
      <c r="F74" s="144" t="s">
        <v>2141</v>
      </c>
      <c r="G74" s="144" t="s">
        <v>2142</v>
      </c>
      <c r="H74" s="144" t="s">
        <v>2143</v>
      </c>
      <c r="I74" s="144" t="s">
        <v>44</v>
      </c>
      <c r="J74" s="145" t="s">
        <v>45</v>
      </c>
      <c r="K74" s="146"/>
    </row>
    <row r="75" spans="1:11" ht="75">
      <c r="A75" s="144" t="s">
        <v>2125</v>
      </c>
      <c r="B75" s="144" t="s">
        <v>2126</v>
      </c>
      <c r="C75" s="144" t="s">
        <v>2144</v>
      </c>
      <c r="D75" s="144" t="s">
        <v>2145</v>
      </c>
      <c r="E75" s="144" t="s">
        <v>2135</v>
      </c>
      <c r="F75" s="144" t="s">
        <v>2146</v>
      </c>
      <c r="G75" s="144" t="s">
        <v>2147</v>
      </c>
      <c r="H75" s="144" t="s">
        <v>2148</v>
      </c>
      <c r="I75" s="144" t="s">
        <v>51</v>
      </c>
      <c r="J75" s="145" t="s">
        <v>45</v>
      </c>
      <c r="K75" s="146"/>
    </row>
    <row r="76" spans="1:11" ht="45">
      <c r="A76" s="144" t="s">
        <v>2125</v>
      </c>
      <c r="B76" s="144" t="s">
        <v>2126</v>
      </c>
      <c r="C76" s="144" t="s">
        <v>2149</v>
      </c>
      <c r="D76" s="144" t="s">
        <v>2150</v>
      </c>
      <c r="E76" s="144" t="s">
        <v>2135</v>
      </c>
      <c r="F76" s="144" t="s">
        <v>2151</v>
      </c>
      <c r="G76" s="144" t="s">
        <v>2152</v>
      </c>
      <c r="H76" s="144" t="s">
        <v>2153</v>
      </c>
      <c r="I76" s="144" t="s">
        <v>44</v>
      </c>
      <c r="J76" s="145" t="s">
        <v>45</v>
      </c>
      <c r="K76" s="146"/>
    </row>
    <row r="77" spans="1:11" ht="30">
      <c r="A77" s="144" t="s">
        <v>2125</v>
      </c>
      <c r="B77" s="144" t="s">
        <v>2126</v>
      </c>
      <c r="C77" s="144" t="s">
        <v>2154</v>
      </c>
      <c r="D77" s="144" t="s">
        <v>2155</v>
      </c>
      <c r="E77" s="144" t="s">
        <v>2135</v>
      </c>
      <c r="F77" s="144" t="s">
        <v>2156</v>
      </c>
      <c r="G77" s="144" t="s">
        <v>2157</v>
      </c>
      <c r="H77" s="144" t="s">
        <v>2158</v>
      </c>
      <c r="I77" s="144" t="s">
        <v>51</v>
      </c>
      <c r="J77" s="145" t="s">
        <v>45</v>
      </c>
      <c r="K77" s="146"/>
    </row>
    <row r="78" spans="1:11" ht="30">
      <c r="A78" s="144" t="s">
        <v>2125</v>
      </c>
      <c r="B78" s="144" t="s">
        <v>2126</v>
      </c>
      <c r="C78" s="144" t="s">
        <v>2159</v>
      </c>
      <c r="D78" s="144" t="s">
        <v>2160</v>
      </c>
      <c r="E78" s="144" t="s">
        <v>2161</v>
      </c>
      <c r="F78" s="144" t="s">
        <v>2162</v>
      </c>
      <c r="G78" s="144" t="s">
        <v>2163</v>
      </c>
      <c r="H78" s="144" t="s">
        <v>2163</v>
      </c>
      <c r="I78" s="144" t="s">
        <v>51</v>
      </c>
      <c r="J78" s="145" t="s">
        <v>45</v>
      </c>
      <c r="K78" s="146"/>
    </row>
    <row r="79" spans="1:11" ht="60">
      <c r="A79" s="144" t="s">
        <v>2125</v>
      </c>
      <c r="B79" s="144" t="s">
        <v>2126</v>
      </c>
      <c r="C79" s="144" t="s">
        <v>2164</v>
      </c>
      <c r="D79" s="144" t="s">
        <v>2165</v>
      </c>
      <c r="E79" s="144" t="s">
        <v>2135</v>
      </c>
      <c r="F79" s="144" t="s">
        <v>2166</v>
      </c>
      <c r="G79" s="144" t="s">
        <v>2167</v>
      </c>
      <c r="H79" s="144" t="s">
        <v>2168</v>
      </c>
      <c r="I79" s="144" t="s">
        <v>51</v>
      </c>
      <c r="J79" s="145" t="s">
        <v>45</v>
      </c>
      <c r="K79" s="146"/>
    </row>
    <row r="80" spans="1:11" ht="45">
      <c r="A80" s="144" t="s">
        <v>2125</v>
      </c>
      <c r="B80" s="144" t="s">
        <v>2126</v>
      </c>
      <c r="C80" s="144" t="s">
        <v>2169</v>
      </c>
      <c r="D80" s="144" t="s">
        <v>2170</v>
      </c>
      <c r="E80" s="144" t="s">
        <v>2135</v>
      </c>
      <c r="F80" s="144" t="s">
        <v>2171</v>
      </c>
      <c r="G80" s="144" t="s">
        <v>2172</v>
      </c>
      <c r="H80" s="144" t="s">
        <v>2173</v>
      </c>
      <c r="I80" s="144" t="s">
        <v>44</v>
      </c>
      <c r="J80" s="145" t="s">
        <v>45</v>
      </c>
      <c r="K80" s="146"/>
    </row>
    <row r="81" spans="1:11" ht="45">
      <c r="A81" s="144" t="s">
        <v>2125</v>
      </c>
      <c r="B81" s="144" t="s">
        <v>2126</v>
      </c>
      <c r="C81" s="144" t="s">
        <v>2174</v>
      </c>
      <c r="D81" s="144" t="s">
        <v>2175</v>
      </c>
      <c r="E81" s="144" t="s">
        <v>2176</v>
      </c>
      <c r="F81" s="144" t="s">
        <v>2177</v>
      </c>
      <c r="G81" s="144" t="s">
        <v>2178</v>
      </c>
      <c r="H81" s="144" t="s">
        <v>2179</v>
      </c>
      <c r="I81" s="144" t="s">
        <v>1838</v>
      </c>
      <c r="J81" s="145" t="s">
        <v>45</v>
      </c>
      <c r="K81" s="146"/>
    </row>
    <row r="82" spans="1:11" ht="45">
      <c r="A82" s="144" t="s">
        <v>2125</v>
      </c>
      <c r="B82" s="144" t="s">
        <v>2126</v>
      </c>
      <c r="C82" s="144" t="s">
        <v>2180</v>
      </c>
      <c r="D82" s="144" t="s">
        <v>2181</v>
      </c>
      <c r="E82" s="144" t="s">
        <v>2135</v>
      </c>
      <c r="F82" s="144" t="s">
        <v>2182</v>
      </c>
      <c r="G82" s="144" t="s">
        <v>2183</v>
      </c>
      <c r="H82" s="144" t="s">
        <v>2184</v>
      </c>
      <c r="I82" s="144" t="s">
        <v>44</v>
      </c>
      <c r="J82" s="145" t="s">
        <v>45</v>
      </c>
      <c r="K82" s="146"/>
    </row>
    <row r="83" spans="1:11" ht="45">
      <c r="A83" s="144" t="s">
        <v>2125</v>
      </c>
      <c r="B83" s="144" t="s">
        <v>2126</v>
      </c>
      <c r="C83" s="144" t="s">
        <v>2185</v>
      </c>
      <c r="D83" s="144" t="s">
        <v>2186</v>
      </c>
      <c r="E83" s="144" t="s">
        <v>2187</v>
      </c>
      <c r="F83" s="144" t="s">
        <v>2188</v>
      </c>
      <c r="G83" s="144" t="s">
        <v>2189</v>
      </c>
      <c r="H83" s="144" t="s">
        <v>2189</v>
      </c>
      <c r="I83" s="144" t="s">
        <v>1838</v>
      </c>
      <c r="J83" s="145" t="s">
        <v>45</v>
      </c>
      <c r="K83" s="146"/>
    </row>
    <row r="84" spans="1:11" ht="45">
      <c r="A84" s="144" t="s">
        <v>2125</v>
      </c>
      <c r="B84" s="144" t="s">
        <v>2126</v>
      </c>
      <c r="C84" s="144" t="s">
        <v>2190</v>
      </c>
      <c r="D84" s="144" t="s">
        <v>2191</v>
      </c>
      <c r="E84" s="144" t="s">
        <v>2135</v>
      </c>
      <c r="F84" s="144" t="s">
        <v>2192</v>
      </c>
      <c r="G84" s="144" t="s">
        <v>2193</v>
      </c>
      <c r="H84" s="144" t="s">
        <v>2194</v>
      </c>
      <c r="I84" s="144" t="s">
        <v>44</v>
      </c>
      <c r="J84" s="145" t="s">
        <v>45</v>
      </c>
      <c r="K84" s="146"/>
    </row>
    <row r="85" spans="1:11" ht="30">
      <c r="A85" s="144" t="s">
        <v>2125</v>
      </c>
      <c r="B85" s="144" t="s">
        <v>2126</v>
      </c>
      <c r="C85" s="144" t="s">
        <v>2195</v>
      </c>
      <c r="D85" s="144" t="s">
        <v>2196</v>
      </c>
      <c r="E85" s="144" t="s">
        <v>2135</v>
      </c>
      <c r="F85" s="144" t="s">
        <v>2197</v>
      </c>
      <c r="G85" s="144" t="s">
        <v>2198</v>
      </c>
      <c r="H85" s="144" t="s">
        <v>2199</v>
      </c>
      <c r="I85" s="144" t="s">
        <v>44</v>
      </c>
      <c r="J85" s="145" t="s">
        <v>45</v>
      </c>
      <c r="K85" s="146"/>
    </row>
    <row r="86" spans="1:11" ht="45">
      <c r="A86" s="144" t="s">
        <v>2125</v>
      </c>
      <c r="B86" s="144" t="s">
        <v>2126</v>
      </c>
      <c r="C86" s="144" t="s">
        <v>2200</v>
      </c>
      <c r="D86" s="144" t="s">
        <v>2201</v>
      </c>
      <c r="E86" s="144" t="s">
        <v>2135</v>
      </c>
      <c r="F86" s="144" t="s">
        <v>2202</v>
      </c>
      <c r="G86" s="144" t="s">
        <v>2203</v>
      </c>
      <c r="H86" s="144" t="s">
        <v>2204</v>
      </c>
      <c r="I86" s="144" t="s">
        <v>44</v>
      </c>
      <c r="J86" s="145" t="s">
        <v>45</v>
      </c>
      <c r="K86" s="146"/>
    </row>
    <row r="87" spans="1:11" ht="45">
      <c r="A87" s="144" t="s">
        <v>2125</v>
      </c>
      <c r="B87" s="144" t="s">
        <v>2126</v>
      </c>
      <c r="C87" s="144" t="s">
        <v>2205</v>
      </c>
      <c r="D87" s="144" t="s">
        <v>2206</v>
      </c>
      <c r="E87" s="144" t="s">
        <v>2207</v>
      </c>
      <c r="F87" s="144" t="s">
        <v>2208</v>
      </c>
      <c r="G87" s="144" t="s">
        <v>2209</v>
      </c>
      <c r="H87" s="144" t="s">
        <v>2210</v>
      </c>
      <c r="I87" s="144" t="s">
        <v>51</v>
      </c>
      <c r="J87" s="145" t="s">
        <v>45</v>
      </c>
      <c r="K87" s="146"/>
    </row>
    <row r="88" spans="1:11" ht="90">
      <c r="A88" s="144" t="s">
        <v>2125</v>
      </c>
      <c r="B88" s="144" t="s">
        <v>2126</v>
      </c>
      <c r="C88" s="144" t="s">
        <v>2211</v>
      </c>
      <c r="D88" s="144" t="s">
        <v>2212</v>
      </c>
      <c r="E88" s="144" t="s">
        <v>2213</v>
      </c>
      <c r="F88" s="144" t="s">
        <v>2214</v>
      </c>
      <c r="G88" s="144" t="s">
        <v>2215</v>
      </c>
      <c r="H88" s="144" t="s">
        <v>2215</v>
      </c>
      <c r="I88" s="144" t="s">
        <v>1041</v>
      </c>
      <c r="J88" s="145" t="s">
        <v>45</v>
      </c>
      <c r="K88" s="146"/>
    </row>
    <row r="89" spans="1:11" ht="75">
      <c r="A89" s="144" t="s">
        <v>2125</v>
      </c>
      <c r="B89" s="144" t="s">
        <v>2126</v>
      </c>
      <c r="C89" s="144" t="s">
        <v>2216</v>
      </c>
      <c r="D89" s="144" t="s">
        <v>2217</v>
      </c>
      <c r="E89" s="144" t="s">
        <v>2218</v>
      </c>
      <c r="F89" s="144" t="s">
        <v>2219</v>
      </c>
      <c r="G89" s="144" t="s">
        <v>2220</v>
      </c>
      <c r="H89" s="144" t="s">
        <v>2220</v>
      </c>
      <c r="I89" s="144" t="s">
        <v>1041</v>
      </c>
      <c r="J89" s="145" t="s">
        <v>45</v>
      </c>
      <c r="K89" s="146"/>
    </row>
    <row r="90" spans="1:11" ht="45">
      <c r="A90" s="144" t="s">
        <v>2125</v>
      </c>
      <c r="B90" s="144" t="s">
        <v>2126</v>
      </c>
      <c r="C90" s="144" t="s">
        <v>2221</v>
      </c>
      <c r="D90" s="144" t="s">
        <v>2222</v>
      </c>
      <c r="E90" s="144" t="s">
        <v>2223</v>
      </c>
      <c r="F90" s="144" t="s">
        <v>2224</v>
      </c>
      <c r="G90" s="144" t="s">
        <v>2225</v>
      </c>
      <c r="H90" s="144" t="s">
        <v>2226</v>
      </c>
      <c r="I90" s="144" t="s">
        <v>1041</v>
      </c>
      <c r="J90" s="147" t="s">
        <v>2055</v>
      </c>
      <c r="K90" s="146" t="s">
        <v>2227</v>
      </c>
    </row>
    <row r="91" spans="1:11" ht="30">
      <c r="A91" s="144" t="s">
        <v>2228</v>
      </c>
      <c r="B91" s="144" t="s">
        <v>2229</v>
      </c>
      <c r="C91" s="144" t="s">
        <v>2230</v>
      </c>
      <c r="D91" s="144" t="s">
        <v>2231</v>
      </c>
      <c r="E91" s="144" t="s">
        <v>2232</v>
      </c>
      <c r="F91" s="144" t="s">
        <v>2233</v>
      </c>
      <c r="G91" s="144" t="s">
        <v>2234</v>
      </c>
      <c r="H91" s="144" t="s">
        <v>2235</v>
      </c>
      <c r="I91" s="144" t="s">
        <v>2236</v>
      </c>
      <c r="J91" s="145" t="s">
        <v>45</v>
      </c>
      <c r="K91" s="146"/>
    </row>
    <row r="92" spans="1:11" ht="30">
      <c r="A92" s="144" t="s">
        <v>2228</v>
      </c>
      <c r="B92" s="144" t="s">
        <v>2229</v>
      </c>
      <c r="C92" s="144" t="s">
        <v>2237</v>
      </c>
      <c r="D92" s="144" t="s">
        <v>2238</v>
      </c>
      <c r="E92" s="144" t="s">
        <v>2239</v>
      </c>
      <c r="F92" s="144" t="s">
        <v>2240</v>
      </c>
      <c r="G92" s="144" t="s">
        <v>2241</v>
      </c>
      <c r="H92" s="144" t="s">
        <v>2242</v>
      </c>
      <c r="I92" s="144" t="s">
        <v>2236</v>
      </c>
      <c r="J92" s="145" t="s">
        <v>45</v>
      </c>
      <c r="K92" s="146"/>
    </row>
    <row r="93" spans="1:11" ht="45">
      <c r="A93" s="144" t="s">
        <v>2228</v>
      </c>
      <c r="B93" s="144" t="s">
        <v>2229</v>
      </c>
      <c r="C93" s="144" t="s">
        <v>2243</v>
      </c>
      <c r="D93" s="144" t="s">
        <v>2244</v>
      </c>
      <c r="E93" s="144" t="s">
        <v>2245</v>
      </c>
      <c r="F93" s="144" t="s">
        <v>2246</v>
      </c>
      <c r="G93" s="144" t="s">
        <v>2247</v>
      </c>
      <c r="H93" s="144" t="s">
        <v>2248</v>
      </c>
      <c r="I93" s="144" t="s">
        <v>2236</v>
      </c>
      <c r="J93" s="145" t="s">
        <v>45</v>
      </c>
      <c r="K93" s="146"/>
    </row>
    <row r="94" spans="1:11" ht="60">
      <c r="A94" s="144" t="s">
        <v>2228</v>
      </c>
      <c r="B94" s="144" t="s">
        <v>2229</v>
      </c>
      <c r="C94" s="144" t="s">
        <v>2249</v>
      </c>
      <c r="D94" s="144" t="s">
        <v>2250</v>
      </c>
      <c r="E94" s="144" t="s">
        <v>2251</v>
      </c>
      <c r="F94" s="144" t="s">
        <v>2252</v>
      </c>
      <c r="G94" s="144" t="s">
        <v>2253</v>
      </c>
      <c r="H94" s="144" t="s">
        <v>2254</v>
      </c>
      <c r="I94" s="144" t="s">
        <v>2236</v>
      </c>
      <c r="J94" s="145" t="s">
        <v>45</v>
      </c>
      <c r="K94" s="146"/>
    </row>
    <row r="95" spans="1:11" ht="45">
      <c r="A95" s="144" t="s">
        <v>2228</v>
      </c>
      <c r="B95" s="144" t="s">
        <v>2229</v>
      </c>
      <c r="C95" s="144" t="s">
        <v>2255</v>
      </c>
      <c r="D95" s="144" t="s">
        <v>2256</v>
      </c>
      <c r="E95" s="144" t="s">
        <v>2257</v>
      </c>
      <c r="F95" s="144" t="s">
        <v>2258</v>
      </c>
      <c r="G95" s="144" t="s">
        <v>2259</v>
      </c>
      <c r="H95" s="144" t="s">
        <v>2259</v>
      </c>
      <c r="I95" s="144" t="s">
        <v>2236</v>
      </c>
      <c r="J95" s="145" t="s">
        <v>45</v>
      </c>
      <c r="K95" s="146"/>
    </row>
    <row r="96" spans="1:11" ht="45">
      <c r="A96" s="144" t="s">
        <v>2260</v>
      </c>
      <c r="B96" s="144" t="s">
        <v>2261</v>
      </c>
      <c r="C96" s="144" t="s">
        <v>2262</v>
      </c>
      <c r="D96" s="144" t="s">
        <v>2263</v>
      </c>
      <c r="E96" s="144" t="s">
        <v>2264</v>
      </c>
      <c r="F96" s="144" t="s">
        <v>2265</v>
      </c>
      <c r="G96" s="144" t="s">
        <v>2266</v>
      </c>
      <c r="H96" s="144" t="s">
        <v>2266</v>
      </c>
      <c r="I96" s="144" t="s">
        <v>2236</v>
      </c>
      <c r="J96" s="145" t="s">
        <v>45</v>
      </c>
      <c r="K96" s="146"/>
    </row>
    <row r="97" spans="1:11" ht="60">
      <c r="A97" s="144" t="s">
        <v>2267</v>
      </c>
      <c r="B97" s="144" t="s">
        <v>2268</v>
      </c>
      <c r="C97" s="144" t="s">
        <v>2269</v>
      </c>
      <c r="D97" s="144" t="s">
        <v>2270</v>
      </c>
      <c r="E97" s="144" t="s">
        <v>2271</v>
      </c>
      <c r="F97" s="144" t="s">
        <v>2272</v>
      </c>
      <c r="G97" s="144" t="s">
        <v>2273</v>
      </c>
      <c r="H97" s="144" t="s">
        <v>2274</v>
      </c>
      <c r="I97" s="144" t="s">
        <v>2236</v>
      </c>
      <c r="J97" s="145" t="s">
        <v>45</v>
      </c>
      <c r="K97" s="146"/>
    </row>
    <row r="98" spans="1:11" ht="45">
      <c r="A98" s="144" t="s">
        <v>2275</v>
      </c>
      <c r="B98" s="144" t="s">
        <v>2276</v>
      </c>
      <c r="C98" s="144" t="s">
        <v>2277</v>
      </c>
      <c r="D98" s="144" t="s">
        <v>2278</v>
      </c>
      <c r="E98" s="144" t="s">
        <v>2279</v>
      </c>
      <c r="F98" s="144" t="s">
        <v>2280</v>
      </c>
      <c r="G98" s="144" t="s">
        <v>2281</v>
      </c>
      <c r="H98" s="144" t="s">
        <v>2282</v>
      </c>
      <c r="I98" s="144" t="s">
        <v>2236</v>
      </c>
      <c r="J98" s="145" t="s">
        <v>45</v>
      </c>
      <c r="K98" s="146"/>
    </row>
    <row r="99" spans="1:11" ht="45">
      <c r="A99" s="144" t="s">
        <v>2275</v>
      </c>
      <c r="B99" s="144" t="s">
        <v>2276</v>
      </c>
      <c r="C99" s="144" t="s">
        <v>2283</v>
      </c>
      <c r="D99" s="144" t="s">
        <v>2284</v>
      </c>
      <c r="E99" s="144" t="s">
        <v>2285</v>
      </c>
      <c r="F99" s="144" t="s">
        <v>2286</v>
      </c>
      <c r="G99" s="144" t="s">
        <v>2287</v>
      </c>
      <c r="H99" s="144" t="s">
        <v>2288</v>
      </c>
      <c r="I99" s="144" t="s">
        <v>2236</v>
      </c>
      <c r="J99" s="145" t="s">
        <v>45</v>
      </c>
      <c r="K99" s="146"/>
    </row>
    <row r="100" spans="1:11" ht="90">
      <c r="A100" s="144" t="s">
        <v>2289</v>
      </c>
      <c r="B100" s="144" t="s">
        <v>2290</v>
      </c>
      <c r="C100" s="144" t="s">
        <v>2291</v>
      </c>
      <c r="D100" s="144" t="s">
        <v>2292</v>
      </c>
      <c r="E100" s="144" t="s">
        <v>2293</v>
      </c>
      <c r="F100" s="144" t="s">
        <v>2294</v>
      </c>
      <c r="G100" s="144" t="s">
        <v>2295</v>
      </c>
      <c r="H100" s="144" t="s">
        <v>2295</v>
      </c>
      <c r="I100" s="144" t="s">
        <v>1041</v>
      </c>
      <c r="J100" s="145" t="s">
        <v>45</v>
      </c>
      <c r="K100" s="146"/>
    </row>
    <row r="101" spans="1:11" ht="60">
      <c r="A101" s="144" t="s">
        <v>2289</v>
      </c>
      <c r="B101" s="144" t="s">
        <v>2290</v>
      </c>
      <c r="C101" s="144" t="s">
        <v>2296</v>
      </c>
      <c r="D101" s="144" t="s">
        <v>2297</v>
      </c>
      <c r="E101" s="144" t="s">
        <v>2298</v>
      </c>
      <c r="F101" s="144" t="s">
        <v>2299</v>
      </c>
      <c r="G101" s="144" t="s">
        <v>2300</v>
      </c>
      <c r="H101" s="144" t="s">
        <v>2301</v>
      </c>
      <c r="I101" s="144" t="s">
        <v>1041</v>
      </c>
      <c r="J101" s="147" t="s">
        <v>2055</v>
      </c>
      <c r="K101" s="146" t="s">
        <v>2302</v>
      </c>
    </row>
    <row r="102" spans="1:11" ht="60">
      <c r="A102" s="144" t="s">
        <v>2303</v>
      </c>
      <c r="B102" s="144" t="s">
        <v>2304</v>
      </c>
      <c r="C102" s="144" t="s">
        <v>2305</v>
      </c>
      <c r="D102" s="144" t="s">
        <v>2306</v>
      </c>
      <c r="E102" s="144" t="s">
        <v>2307</v>
      </c>
      <c r="F102" s="144" t="s">
        <v>2308</v>
      </c>
      <c r="G102" s="144" t="s">
        <v>2309</v>
      </c>
      <c r="H102" s="144" t="s">
        <v>2310</v>
      </c>
      <c r="I102" s="144" t="s">
        <v>51</v>
      </c>
      <c r="J102" s="145" t="s">
        <v>45</v>
      </c>
      <c r="K102" s="146"/>
    </row>
    <row r="103" spans="1:11" ht="60">
      <c r="A103" s="144" t="s">
        <v>2303</v>
      </c>
      <c r="B103" s="144" t="s">
        <v>2304</v>
      </c>
      <c r="C103" s="144" t="s">
        <v>2311</v>
      </c>
      <c r="D103" s="144" t="s">
        <v>2312</v>
      </c>
      <c r="E103" s="144" t="s">
        <v>2313</v>
      </c>
      <c r="F103" s="144" t="s">
        <v>2314</v>
      </c>
      <c r="G103" s="144" t="s">
        <v>2315</v>
      </c>
      <c r="H103" s="144" t="s">
        <v>2316</v>
      </c>
      <c r="I103" s="144" t="s">
        <v>51</v>
      </c>
      <c r="J103" s="147" t="s">
        <v>2055</v>
      </c>
      <c r="K103" s="146"/>
    </row>
    <row r="104" spans="1:11" ht="75">
      <c r="A104" s="144" t="s">
        <v>2303</v>
      </c>
      <c r="B104" s="144" t="s">
        <v>2304</v>
      </c>
      <c r="C104" s="144" t="s">
        <v>2317</v>
      </c>
      <c r="D104" s="144" t="s">
        <v>2318</v>
      </c>
      <c r="E104" s="144" t="s">
        <v>2319</v>
      </c>
      <c r="F104" s="144" t="s">
        <v>2320</v>
      </c>
      <c r="G104" s="144" t="s">
        <v>2321</v>
      </c>
      <c r="H104" s="144" t="s">
        <v>2322</v>
      </c>
      <c r="I104" s="144" t="s">
        <v>51</v>
      </c>
      <c r="J104" s="147" t="s">
        <v>2055</v>
      </c>
      <c r="K104" s="146"/>
    </row>
    <row r="105" spans="1:11" ht="60">
      <c r="A105" s="144" t="s">
        <v>2323</v>
      </c>
      <c r="B105" s="144" t="s">
        <v>2324</v>
      </c>
      <c r="C105" s="144" t="s">
        <v>2325</v>
      </c>
      <c r="D105" s="144" t="s">
        <v>2326</v>
      </c>
      <c r="E105" s="144" t="s">
        <v>2327</v>
      </c>
      <c r="F105" s="144" t="s">
        <v>2328</v>
      </c>
      <c r="G105" s="144" t="s">
        <v>2329</v>
      </c>
      <c r="H105" s="144" t="s">
        <v>2330</v>
      </c>
      <c r="I105" s="144" t="s">
        <v>1041</v>
      </c>
      <c r="J105" s="147" t="s">
        <v>2055</v>
      </c>
      <c r="K105" s="146"/>
    </row>
    <row r="106" spans="1:11" ht="60">
      <c r="A106" s="144" t="s">
        <v>2323</v>
      </c>
      <c r="B106" s="144" t="s">
        <v>2324</v>
      </c>
      <c r="C106" s="144" t="s">
        <v>2331</v>
      </c>
      <c r="D106" s="144" t="s">
        <v>2332</v>
      </c>
      <c r="E106" s="144" t="s">
        <v>2333</v>
      </c>
      <c r="F106" s="144" t="s">
        <v>2334</v>
      </c>
      <c r="G106" s="144" t="s">
        <v>2335</v>
      </c>
      <c r="H106" s="144" t="s">
        <v>2335</v>
      </c>
      <c r="I106" s="144" t="s">
        <v>1041</v>
      </c>
      <c r="J106" s="145" t="s">
        <v>45</v>
      </c>
      <c r="K106" s="146"/>
    </row>
    <row r="107" spans="1:11" ht="60">
      <c r="A107" s="144" t="s">
        <v>2336</v>
      </c>
      <c r="B107" s="144" t="s">
        <v>2337</v>
      </c>
      <c r="C107" s="144" t="s">
        <v>2338</v>
      </c>
      <c r="D107" s="144" t="s">
        <v>2339</v>
      </c>
      <c r="E107" s="144" t="s">
        <v>2340</v>
      </c>
      <c r="F107" s="144" t="s">
        <v>2341</v>
      </c>
      <c r="G107" s="144" t="s">
        <v>2342</v>
      </c>
      <c r="H107" s="144" t="s">
        <v>2343</v>
      </c>
      <c r="I107" s="144" t="s">
        <v>44</v>
      </c>
      <c r="J107" s="145" t="s">
        <v>45</v>
      </c>
      <c r="K107" s="146"/>
    </row>
    <row r="108" spans="1:11" ht="90">
      <c r="A108" s="144" t="s">
        <v>2344</v>
      </c>
      <c r="B108" s="144" t="s">
        <v>2345</v>
      </c>
      <c r="C108" s="144" t="s">
        <v>2346</v>
      </c>
      <c r="D108" s="144" t="s">
        <v>2347</v>
      </c>
      <c r="E108" s="144" t="s">
        <v>2106</v>
      </c>
      <c r="F108" s="144" t="s">
        <v>2348</v>
      </c>
      <c r="G108" s="144" t="s">
        <v>2349</v>
      </c>
      <c r="H108" s="144" t="s">
        <v>2349</v>
      </c>
      <c r="I108" s="144" t="s">
        <v>51</v>
      </c>
      <c r="J108" s="145" t="s">
        <v>45</v>
      </c>
      <c r="K108" s="146"/>
    </row>
    <row r="109" spans="1:11" ht="45">
      <c r="A109" s="144" t="s">
        <v>2344</v>
      </c>
      <c r="B109" s="144" t="s">
        <v>2345</v>
      </c>
      <c r="C109" s="144" t="s">
        <v>2350</v>
      </c>
      <c r="D109" s="144" t="s">
        <v>2351</v>
      </c>
      <c r="E109" s="144" t="s">
        <v>2352</v>
      </c>
      <c r="F109" s="144" t="s">
        <v>2353</v>
      </c>
      <c r="G109" s="144" t="s">
        <v>2354</v>
      </c>
      <c r="H109" s="144" t="s">
        <v>2354</v>
      </c>
      <c r="I109" s="144" t="s">
        <v>44</v>
      </c>
      <c r="J109" s="145" t="s">
        <v>45</v>
      </c>
      <c r="K109" s="146"/>
    </row>
    <row r="110" spans="1:11" ht="60">
      <c r="A110" s="144" t="s">
        <v>2355</v>
      </c>
      <c r="B110" s="144" t="s">
        <v>2356</v>
      </c>
      <c r="C110" s="144" t="s">
        <v>2357</v>
      </c>
      <c r="D110" s="144" t="s">
        <v>2358</v>
      </c>
      <c r="E110" s="144" t="s">
        <v>2359</v>
      </c>
      <c r="F110" s="144" t="s">
        <v>2360</v>
      </c>
      <c r="G110" s="144" t="s">
        <v>2361</v>
      </c>
      <c r="H110" s="144" t="s">
        <v>2362</v>
      </c>
      <c r="I110" s="144" t="s">
        <v>51</v>
      </c>
      <c r="J110" s="145" t="s">
        <v>45</v>
      </c>
      <c r="K110" s="146"/>
    </row>
    <row r="111" spans="1:11" ht="60">
      <c r="A111" s="144" t="s">
        <v>2363</v>
      </c>
      <c r="B111" s="144" t="s">
        <v>2364</v>
      </c>
      <c r="C111" s="144" t="s">
        <v>2365</v>
      </c>
      <c r="D111" s="144" t="s">
        <v>2366</v>
      </c>
      <c r="E111" s="144" t="s">
        <v>2367</v>
      </c>
      <c r="F111" s="144" t="s">
        <v>2368</v>
      </c>
      <c r="G111" s="144" t="s">
        <v>2369</v>
      </c>
      <c r="H111" s="144" t="s">
        <v>2370</v>
      </c>
      <c r="I111" s="144" t="s">
        <v>1838</v>
      </c>
      <c r="J111" s="145" t="s">
        <v>45</v>
      </c>
      <c r="K111" s="146"/>
    </row>
    <row r="112" spans="1:11" ht="45">
      <c r="A112" s="144" t="s">
        <v>2371</v>
      </c>
      <c r="B112" s="144" t="s">
        <v>2372</v>
      </c>
      <c r="C112" s="144" t="s">
        <v>2373</v>
      </c>
      <c r="D112" s="144" t="s">
        <v>2374</v>
      </c>
      <c r="E112" s="144" t="s">
        <v>2375</v>
      </c>
      <c r="F112" s="144" t="s">
        <v>2376</v>
      </c>
      <c r="G112" s="144" t="s">
        <v>2377</v>
      </c>
      <c r="H112" s="144" t="s">
        <v>2378</v>
      </c>
      <c r="I112" s="144" t="s">
        <v>44</v>
      </c>
      <c r="J112" s="145" t="s">
        <v>45</v>
      </c>
      <c r="K112" s="146"/>
    </row>
    <row r="113" spans="1:11" ht="45">
      <c r="A113" s="144" t="s">
        <v>2379</v>
      </c>
      <c r="B113" s="144" t="s">
        <v>2380</v>
      </c>
      <c r="C113" s="144" t="s">
        <v>2381</v>
      </c>
      <c r="D113" s="144" t="s">
        <v>2382</v>
      </c>
      <c r="E113" s="144" t="s">
        <v>2383</v>
      </c>
      <c r="F113" s="144" t="s">
        <v>2384</v>
      </c>
      <c r="G113" s="144" t="s">
        <v>2385</v>
      </c>
      <c r="H113" s="144" t="s">
        <v>2386</v>
      </c>
      <c r="I113" s="144" t="s">
        <v>44</v>
      </c>
      <c r="J113" s="145" t="s">
        <v>45</v>
      </c>
      <c r="K113" s="146"/>
    </row>
    <row r="114" spans="1:11" ht="75">
      <c r="A114" s="144" t="s">
        <v>2387</v>
      </c>
      <c r="B114" s="144" t="s">
        <v>2388</v>
      </c>
      <c r="C114" s="144" t="s">
        <v>2389</v>
      </c>
      <c r="D114" s="144" t="s">
        <v>2390</v>
      </c>
      <c r="E114" s="144" t="s">
        <v>2391</v>
      </c>
      <c r="F114" s="144" t="s">
        <v>2392</v>
      </c>
      <c r="G114" s="144" t="s">
        <v>2393</v>
      </c>
      <c r="H114" s="144" t="s">
        <v>2394</v>
      </c>
      <c r="I114" s="144" t="s">
        <v>44</v>
      </c>
      <c r="J114" s="145" t="s">
        <v>45</v>
      </c>
      <c r="K114" s="146"/>
    </row>
    <row r="115" spans="1:11" ht="60">
      <c r="A115" s="144" t="s">
        <v>2387</v>
      </c>
      <c r="B115" s="144" t="s">
        <v>2388</v>
      </c>
      <c r="C115" s="144" t="s">
        <v>2395</v>
      </c>
      <c r="D115" s="144" t="s">
        <v>2396</v>
      </c>
      <c r="E115" s="144" t="s">
        <v>2076</v>
      </c>
      <c r="F115" s="144" t="s">
        <v>2397</v>
      </c>
      <c r="G115" s="144" t="s">
        <v>2398</v>
      </c>
      <c r="H115" s="144" t="s">
        <v>2399</v>
      </c>
      <c r="I115" s="144" t="s">
        <v>44</v>
      </c>
      <c r="J115" s="145" t="s">
        <v>45</v>
      </c>
      <c r="K115" s="146"/>
    </row>
    <row r="116" spans="1:11" ht="90">
      <c r="A116" s="144" t="s">
        <v>2387</v>
      </c>
      <c r="B116" s="144" t="s">
        <v>2388</v>
      </c>
      <c r="C116" s="144" t="s">
        <v>2400</v>
      </c>
      <c r="D116" s="144" t="s">
        <v>2401</v>
      </c>
      <c r="E116" s="144" t="s">
        <v>2402</v>
      </c>
      <c r="F116" s="144" t="s">
        <v>2403</v>
      </c>
      <c r="G116" s="144" t="s">
        <v>2404</v>
      </c>
      <c r="H116" s="144" t="s">
        <v>2404</v>
      </c>
      <c r="I116" s="144" t="s">
        <v>51</v>
      </c>
      <c r="J116" s="145" t="s">
        <v>45</v>
      </c>
      <c r="K116" s="146"/>
    </row>
    <row r="117" spans="1:11" ht="45">
      <c r="A117" s="144" t="s">
        <v>2387</v>
      </c>
      <c r="B117" s="144" t="s">
        <v>2388</v>
      </c>
      <c r="C117" s="144" t="s">
        <v>2405</v>
      </c>
      <c r="D117" s="144" t="s">
        <v>2406</v>
      </c>
      <c r="E117" s="144" t="s">
        <v>2407</v>
      </c>
      <c r="F117" s="144" t="s">
        <v>2408</v>
      </c>
      <c r="G117" s="144" t="s">
        <v>2409</v>
      </c>
      <c r="H117" s="144" t="s">
        <v>2410</v>
      </c>
      <c r="I117" s="144" t="s">
        <v>51</v>
      </c>
      <c r="J117" s="145" t="s">
        <v>45</v>
      </c>
      <c r="K117" s="146"/>
    </row>
    <row r="118" spans="1:11" ht="105">
      <c r="A118" s="144" t="s">
        <v>2411</v>
      </c>
      <c r="B118" s="144" t="s">
        <v>2412</v>
      </c>
      <c r="C118" s="144" t="s">
        <v>2413</v>
      </c>
      <c r="D118" s="144" t="s">
        <v>2414</v>
      </c>
      <c r="E118" s="144" t="s">
        <v>2415</v>
      </c>
      <c r="F118" s="144" t="s">
        <v>2416</v>
      </c>
      <c r="G118" s="144" t="s">
        <v>2417</v>
      </c>
      <c r="H118" s="144" t="s">
        <v>2417</v>
      </c>
      <c r="I118" s="144" t="s">
        <v>51</v>
      </c>
      <c r="J118" s="145" t="s">
        <v>45</v>
      </c>
      <c r="K118" s="146"/>
    </row>
    <row r="119" spans="1:11" ht="90">
      <c r="A119" s="144" t="s">
        <v>2411</v>
      </c>
      <c r="B119" s="144" t="s">
        <v>2412</v>
      </c>
      <c r="C119" s="144" t="s">
        <v>2418</v>
      </c>
      <c r="D119" s="144" t="s">
        <v>2419</v>
      </c>
      <c r="E119" s="144" t="s">
        <v>2420</v>
      </c>
      <c r="F119" s="144" t="s">
        <v>2421</v>
      </c>
      <c r="G119" s="144" t="s">
        <v>2422</v>
      </c>
      <c r="H119" s="144" t="s">
        <v>2422</v>
      </c>
      <c r="I119" s="144" t="s">
        <v>2236</v>
      </c>
      <c r="J119" s="145" t="s">
        <v>45</v>
      </c>
      <c r="K119" s="146"/>
    </row>
    <row r="120" spans="1:11" ht="90">
      <c r="A120" s="144" t="s">
        <v>2411</v>
      </c>
      <c r="B120" s="144" t="s">
        <v>2412</v>
      </c>
      <c r="C120" s="144" t="s">
        <v>2423</v>
      </c>
      <c r="D120" s="144" t="s">
        <v>2424</v>
      </c>
      <c r="E120" s="144" t="s">
        <v>2425</v>
      </c>
      <c r="F120" s="144" t="s">
        <v>2426</v>
      </c>
      <c r="G120" s="144" t="s">
        <v>2427</v>
      </c>
      <c r="H120" s="144" t="s">
        <v>2428</v>
      </c>
      <c r="I120" s="144" t="s">
        <v>51</v>
      </c>
      <c r="J120" s="145" t="s">
        <v>45</v>
      </c>
      <c r="K120" s="146"/>
    </row>
    <row r="121" spans="1:11" ht="75">
      <c r="A121" s="144" t="s">
        <v>2411</v>
      </c>
      <c r="B121" s="144" t="s">
        <v>2412</v>
      </c>
      <c r="C121" s="144" t="s">
        <v>2429</v>
      </c>
      <c r="D121" s="144" t="s">
        <v>2430</v>
      </c>
      <c r="E121" s="144" t="s">
        <v>2420</v>
      </c>
      <c r="F121" s="144" t="s">
        <v>2431</v>
      </c>
      <c r="G121" s="144" t="s">
        <v>2432</v>
      </c>
      <c r="H121" s="144" t="s">
        <v>2432</v>
      </c>
      <c r="I121" s="144" t="s">
        <v>1041</v>
      </c>
      <c r="J121" s="145" t="s">
        <v>45</v>
      </c>
      <c r="K121" s="146"/>
    </row>
    <row r="122" spans="1:11">
      <c r="E122" s="77"/>
    </row>
    <row r="123" spans="1:11">
      <c r="E123" s="77"/>
    </row>
    <row r="124" spans="1:11">
      <c r="E124" s="77"/>
    </row>
    <row r="125" spans="1:11">
      <c r="E125" s="77"/>
    </row>
    <row r="126" spans="1:11">
      <c r="E126" s="77"/>
    </row>
    <row r="127" spans="1:11">
      <c r="E127" s="77"/>
    </row>
    <row r="128" spans="1:11">
      <c r="E128" s="77"/>
    </row>
    <row r="129" spans="5:5">
      <c r="E129" s="77"/>
    </row>
    <row r="130" spans="5:5">
      <c r="E130" s="77"/>
    </row>
    <row r="131" spans="5:5">
      <c r="E131" s="77"/>
    </row>
    <row r="132" spans="5:5">
      <c r="E132" s="77"/>
    </row>
    <row r="133" spans="5:5">
      <c r="E133" s="77"/>
    </row>
    <row r="134" spans="5:5">
      <c r="E134" s="77"/>
    </row>
    <row r="135" spans="5:5">
      <c r="E135" s="77"/>
    </row>
    <row r="136" spans="5:5">
      <c r="E136" s="77"/>
    </row>
    <row r="137" spans="5:5">
      <c r="E137" s="77"/>
    </row>
    <row r="138" spans="5:5">
      <c r="E138" s="77"/>
    </row>
    <row r="139" spans="5:5">
      <c r="E139" s="77"/>
    </row>
    <row r="140" spans="5:5">
      <c r="E140" s="77"/>
    </row>
    <row r="141" spans="5:5">
      <c r="E141" s="77"/>
    </row>
    <row r="142" spans="5:5">
      <c r="E142" s="77"/>
    </row>
    <row r="143" spans="5:5">
      <c r="E143" s="77"/>
    </row>
    <row r="144" spans="5:5">
      <c r="E144" s="77"/>
    </row>
    <row r="145" spans="5:5">
      <c r="E145" s="77"/>
    </row>
    <row r="146" spans="5:5">
      <c r="E146" s="77"/>
    </row>
    <row r="147" spans="5:5">
      <c r="E147" s="77"/>
    </row>
    <row r="148" spans="5:5">
      <c r="E148" s="77"/>
    </row>
    <row r="149" spans="5:5">
      <c r="E149" s="77"/>
    </row>
    <row r="150" spans="5:5">
      <c r="E150" s="77"/>
    </row>
    <row r="151" spans="5:5">
      <c r="E151" s="77"/>
    </row>
    <row r="152" spans="5:5">
      <c r="E152" s="77"/>
    </row>
    <row r="153" spans="5:5">
      <c r="E153" s="77"/>
    </row>
    <row r="154" spans="5:5">
      <c r="E154" s="77"/>
    </row>
    <row r="155" spans="5:5">
      <c r="E155" s="77"/>
    </row>
    <row r="156" spans="5:5">
      <c r="E156" s="77"/>
    </row>
    <row r="157" spans="5:5">
      <c r="E157" s="77"/>
    </row>
    <row r="158" spans="5:5">
      <c r="E158" s="77"/>
    </row>
    <row r="159" spans="5:5">
      <c r="E159" s="77"/>
    </row>
    <row r="160" spans="5:5">
      <c r="E160" s="77"/>
    </row>
    <row r="161" spans="5:5">
      <c r="E161" s="77"/>
    </row>
    <row r="162" spans="5:5">
      <c r="E162" s="77"/>
    </row>
    <row r="163" spans="5:5">
      <c r="E163" s="77"/>
    </row>
    <row r="164" spans="5:5">
      <c r="E164" s="77"/>
    </row>
    <row r="165" spans="5:5">
      <c r="E165" s="77"/>
    </row>
    <row r="166" spans="5:5">
      <c r="E166" s="77"/>
    </row>
    <row r="167" spans="5:5">
      <c r="E167" s="77"/>
    </row>
    <row r="168" spans="5:5">
      <c r="E168" s="77"/>
    </row>
    <row r="169" spans="5:5">
      <c r="E169" s="77"/>
    </row>
    <row r="170" spans="5:5">
      <c r="E170" s="77"/>
    </row>
    <row r="171" spans="5:5">
      <c r="E171" s="77"/>
    </row>
    <row r="172" spans="5:5">
      <c r="E172" s="77"/>
    </row>
  </sheetData>
  <mergeCells count="8">
    <mergeCell ref="B6:D6"/>
    <mergeCell ref="B7:D7"/>
    <mergeCell ref="A8:A9"/>
    <mergeCell ref="B1:D1"/>
    <mergeCell ref="B2:D2"/>
    <mergeCell ref="B3:D3"/>
    <mergeCell ref="B4:D4"/>
    <mergeCell ref="B5:D5"/>
  </mergeCells>
  <hyperlinks>
    <hyperlink ref="B2" r:id="rId1" xr:uid="{4767B6A9-4B8B-41F7-92E8-283E14D6406D}"/>
    <hyperlink ref="B3" r:id="rId2" xr:uid="{315E6257-7015-4DC1-8874-D9AC87873F6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41F1-ABB8-4917-AB00-E71D455C6C4B}">
  <dimension ref="A1:L83"/>
  <sheetViews>
    <sheetView workbookViewId="0">
      <selection activeCell="K51" sqref="K51"/>
    </sheetView>
  </sheetViews>
  <sheetFormatPr defaultColWidth="8.85546875" defaultRowHeight="15"/>
  <cols>
    <col min="1" max="1" width="29.28515625" customWidth="1"/>
    <col min="2" max="2" width="16.7109375" customWidth="1"/>
    <col min="3" max="3" width="21.42578125" customWidth="1"/>
    <col min="4" max="4" width="25.42578125" customWidth="1"/>
    <col min="5" max="5" width="27.140625" customWidth="1"/>
    <col min="6" max="8" width="37" customWidth="1"/>
    <col min="9" max="9" width="20.42578125" style="30" customWidth="1"/>
    <col min="10" max="10" width="20.42578125" style="74" customWidth="1"/>
    <col min="11" max="11" width="20.42578125" customWidth="1"/>
  </cols>
  <sheetData>
    <row r="1" spans="1:12" ht="18">
      <c r="A1" s="1" t="s">
        <v>439</v>
      </c>
      <c r="B1" s="192" t="s">
        <v>2433</v>
      </c>
      <c r="C1" s="192"/>
      <c r="D1" s="192"/>
      <c r="I1"/>
    </row>
    <row r="2" spans="1:12" ht="42" customHeight="1">
      <c r="A2" s="2" t="s">
        <v>441</v>
      </c>
      <c r="B2" s="173" t="s">
        <v>7</v>
      </c>
      <c r="C2" s="174"/>
      <c r="D2" s="174"/>
      <c r="I2"/>
    </row>
    <row r="3" spans="1:12" ht="42" customHeight="1">
      <c r="A3" s="1" t="s">
        <v>445</v>
      </c>
      <c r="B3" s="176" t="s">
        <v>13</v>
      </c>
      <c r="C3" s="177"/>
      <c r="D3" s="177"/>
      <c r="I3"/>
    </row>
    <row r="4" spans="1:12" ht="42" customHeight="1">
      <c r="A4" s="1" t="s">
        <v>448</v>
      </c>
      <c r="B4" s="193" t="s">
        <v>2434</v>
      </c>
      <c r="C4" s="193"/>
      <c r="D4" s="193"/>
    </row>
    <row r="5" spans="1:12" ht="42" customHeight="1">
      <c r="A5" s="1" t="s">
        <v>450</v>
      </c>
      <c r="B5" s="194" t="s">
        <v>2435</v>
      </c>
      <c r="C5" s="194"/>
      <c r="D5" s="194"/>
    </row>
    <row r="6" spans="1:12" ht="42" customHeight="1">
      <c r="A6" s="1" t="s">
        <v>451</v>
      </c>
      <c r="B6" s="195"/>
      <c r="C6" s="195"/>
      <c r="D6" s="195"/>
    </row>
    <row r="7" spans="1:12" ht="42" customHeight="1">
      <c r="A7" s="1" t="s">
        <v>452</v>
      </c>
      <c r="B7" s="189" t="s">
        <v>8</v>
      </c>
      <c r="C7" s="189"/>
      <c r="D7" s="189"/>
    </row>
    <row r="8" spans="1:12" ht="36">
      <c r="A8" s="190" t="s">
        <v>453</v>
      </c>
      <c r="B8" s="3" t="s">
        <v>454</v>
      </c>
      <c r="C8" s="4" t="s">
        <v>22</v>
      </c>
      <c r="D8" s="5" t="s">
        <v>23</v>
      </c>
    </row>
    <row r="9" spans="1:12" ht="17.100000000000001">
      <c r="A9" s="191"/>
      <c r="B9" s="6">
        <f>COUNTIF(J:J,"Pass")+COUNTIF(J:J,"Fail") +COUNTIF(J:J,"Open") + COUNTIF(J:J,"Pending") + COUNTIF(J:J,"Fixed")</f>
        <v>45</v>
      </c>
      <c r="C9" s="6">
        <f>COUNTIF(
J:J,"Pass")</f>
        <v>45</v>
      </c>
      <c r="D9" s="6">
        <f xml:space="preserve"> COUNTIF(
J:J,"Fail")</f>
        <v>0</v>
      </c>
    </row>
    <row r="10" spans="1:12" ht="72">
      <c r="A10" s="7" t="s">
        <v>455</v>
      </c>
      <c r="B10" s="8" t="s">
        <v>456</v>
      </c>
      <c r="C10" s="8" t="s">
        <v>457</v>
      </c>
      <c r="D10" s="8" t="s">
        <v>458</v>
      </c>
      <c r="E10" s="9" t="s">
        <v>459</v>
      </c>
      <c r="F10" s="10" t="s">
        <v>460</v>
      </c>
      <c r="G10" s="11" t="s">
        <v>461</v>
      </c>
      <c r="H10" s="13" t="s">
        <v>462</v>
      </c>
      <c r="I10" s="12" t="s">
        <v>32</v>
      </c>
      <c r="J10" s="12" t="s">
        <v>463</v>
      </c>
      <c r="K10" s="8" t="s">
        <v>464</v>
      </c>
      <c r="L10" s="12" t="s">
        <v>35</v>
      </c>
    </row>
    <row r="11" spans="1:12" ht="120">
      <c r="A11" s="97" t="s">
        <v>2436</v>
      </c>
      <c r="B11" s="106" t="s">
        <v>2437</v>
      </c>
      <c r="C11" s="106" t="s">
        <v>2438</v>
      </c>
      <c r="D11" s="106" t="s">
        <v>2439</v>
      </c>
      <c r="E11" s="106" t="s">
        <v>2440</v>
      </c>
      <c r="F11" s="106" t="s">
        <v>2441</v>
      </c>
      <c r="G11" s="106" t="s">
        <v>2442</v>
      </c>
      <c r="H11" s="106" t="s">
        <v>2443</v>
      </c>
      <c r="I11" s="106" t="s">
        <v>51</v>
      </c>
      <c r="J11" s="130" t="s">
        <v>45</v>
      </c>
      <c r="K11" s="16"/>
      <c r="L11" s="19"/>
    </row>
    <row r="12" spans="1:12" ht="60">
      <c r="A12" s="101" t="s">
        <v>2436</v>
      </c>
      <c r="B12" s="102" t="s">
        <v>2437</v>
      </c>
      <c r="C12" s="102" t="s">
        <v>2444</v>
      </c>
      <c r="D12" s="102" t="s">
        <v>2445</v>
      </c>
      <c r="E12" s="102" t="s">
        <v>2446</v>
      </c>
      <c r="F12" s="102" t="s">
        <v>2447</v>
      </c>
      <c r="G12" s="102" t="s">
        <v>2448</v>
      </c>
      <c r="H12" s="102" t="s">
        <v>2448</v>
      </c>
      <c r="I12" s="102" t="s">
        <v>1838</v>
      </c>
      <c r="J12" s="131" t="s">
        <v>45</v>
      </c>
      <c r="K12" s="157" t="s">
        <v>2449</v>
      </c>
      <c r="L12" s="19"/>
    </row>
    <row r="13" spans="1:12" ht="75">
      <c r="A13" s="101" t="s">
        <v>2436</v>
      </c>
      <c r="B13" s="102" t="s">
        <v>2437</v>
      </c>
      <c r="C13" s="102" t="s">
        <v>2450</v>
      </c>
      <c r="D13" s="102" t="s">
        <v>2451</v>
      </c>
      <c r="E13" s="102" t="s">
        <v>2452</v>
      </c>
      <c r="F13" s="102" t="s">
        <v>2453</v>
      </c>
      <c r="G13" s="102" t="s">
        <v>2454</v>
      </c>
      <c r="H13" s="102" t="s">
        <v>2455</v>
      </c>
      <c r="I13" s="102" t="s">
        <v>44</v>
      </c>
      <c r="J13" s="131" t="s">
        <v>45</v>
      </c>
      <c r="K13" s="16"/>
      <c r="L13" s="19"/>
    </row>
    <row r="14" spans="1:12" ht="75" customHeight="1">
      <c r="A14" s="101" t="s">
        <v>2436</v>
      </c>
      <c r="B14" s="102" t="s">
        <v>2437</v>
      </c>
      <c r="C14" s="102" t="s">
        <v>2456</v>
      </c>
      <c r="D14" s="102" t="s">
        <v>2457</v>
      </c>
      <c r="E14" s="102" t="s">
        <v>2458</v>
      </c>
      <c r="F14" s="102" t="s">
        <v>2459</v>
      </c>
      <c r="G14" s="102" t="s">
        <v>2460</v>
      </c>
      <c r="H14" s="102" t="s">
        <v>2461</v>
      </c>
      <c r="I14" s="102" t="s">
        <v>51</v>
      </c>
      <c r="J14" s="131" t="s">
        <v>45</v>
      </c>
      <c r="K14" s="16"/>
      <c r="L14" s="19"/>
    </row>
    <row r="15" spans="1:12" ht="105.75" customHeight="1">
      <c r="A15" s="101" t="s">
        <v>2436</v>
      </c>
      <c r="B15" s="102" t="s">
        <v>2437</v>
      </c>
      <c r="C15" s="102" t="s">
        <v>2462</v>
      </c>
      <c r="D15" s="102" t="s">
        <v>2463</v>
      </c>
      <c r="E15" s="102" t="s">
        <v>2464</v>
      </c>
      <c r="F15" s="102" t="s">
        <v>2465</v>
      </c>
      <c r="G15" s="102" t="s">
        <v>2466</v>
      </c>
      <c r="H15" s="102" t="s">
        <v>2467</v>
      </c>
      <c r="I15" s="102" t="s">
        <v>44</v>
      </c>
      <c r="J15" s="131" t="s">
        <v>45</v>
      </c>
      <c r="K15" s="16"/>
      <c r="L15" s="19"/>
    </row>
    <row r="16" spans="1:12" ht="60">
      <c r="A16" s="101" t="s">
        <v>2468</v>
      </c>
      <c r="B16" s="102" t="s">
        <v>2469</v>
      </c>
      <c r="C16" s="102" t="s">
        <v>2470</v>
      </c>
      <c r="D16" s="102" t="s">
        <v>2471</v>
      </c>
      <c r="E16" s="102" t="s">
        <v>2472</v>
      </c>
      <c r="F16" s="102" t="s">
        <v>2473</v>
      </c>
      <c r="G16" s="102" t="s">
        <v>2474</v>
      </c>
      <c r="H16" s="102" t="s">
        <v>2475</v>
      </c>
      <c r="I16" s="102" t="s">
        <v>44</v>
      </c>
      <c r="J16" s="131" t="s">
        <v>45</v>
      </c>
      <c r="K16" s="16"/>
      <c r="L16" s="19"/>
    </row>
    <row r="17" spans="1:12" ht="105">
      <c r="A17" s="101" t="s">
        <v>2468</v>
      </c>
      <c r="B17" s="102" t="s">
        <v>2469</v>
      </c>
      <c r="C17" s="102" t="s">
        <v>2476</v>
      </c>
      <c r="D17" s="102" t="s">
        <v>2477</v>
      </c>
      <c r="E17" s="102" t="s">
        <v>2464</v>
      </c>
      <c r="F17" s="102" t="s">
        <v>2478</v>
      </c>
      <c r="G17" s="102" t="s">
        <v>2479</v>
      </c>
      <c r="H17" s="102" t="s">
        <v>2480</v>
      </c>
      <c r="I17" s="102" t="s">
        <v>1838</v>
      </c>
      <c r="J17" s="131" t="s">
        <v>45</v>
      </c>
      <c r="K17" s="16"/>
      <c r="L17" s="19"/>
    </row>
    <row r="18" spans="1:12" ht="90">
      <c r="A18" s="101" t="s">
        <v>2468</v>
      </c>
      <c r="B18" s="102" t="s">
        <v>2469</v>
      </c>
      <c r="C18" s="102" t="s">
        <v>2481</v>
      </c>
      <c r="D18" s="102" t="s">
        <v>2482</v>
      </c>
      <c r="E18" s="102" t="s">
        <v>2483</v>
      </c>
      <c r="F18" s="102" t="s">
        <v>2484</v>
      </c>
      <c r="G18" s="102" t="s">
        <v>2485</v>
      </c>
      <c r="H18" s="102" t="s">
        <v>2486</v>
      </c>
      <c r="I18" s="102" t="s">
        <v>51</v>
      </c>
      <c r="J18" s="131" t="s">
        <v>45</v>
      </c>
      <c r="K18" s="16"/>
      <c r="L18" s="19"/>
    </row>
    <row r="19" spans="1:12" ht="75">
      <c r="A19" s="101" t="s">
        <v>2468</v>
      </c>
      <c r="B19" s="102" t="s">
        <v>2469</v>
      </c>
      <c r="C19" s="102" t="s">
        <v>2487</v>
      </c>
      <c r="D19" s="102" t="s">
        <v>2488</v>
      </c>
      <c r="E19" s="102" t="s">
        <v>2489</v>
      </c>
      <c r="F19" s="102" t="s">
        <v>2490</v>
      </c>
      <c r="G19" s="102" t="s">
        <v>2491</v>
      </c>
      <c r="H19" s="102" t="s">
        <v>2492</v>
      </c>
      <c r="I19" s="102" t="s">
        <v>51</v>
      </c>
      <c r="J19" s="131" t="s">
        <v>45</v>
      </c>
      <c r="K19" s="16"/>
      <c r="L19" s="19"/>
    </row>
    <row r="20" spans="1:12" ht="75">
      <c r="A20" s="101" t="s">
        <v>2493</v>
      </c>
      <c r="B20" s="102" t="s">
        <v>2494</v>
      </c>
      <c r="C20" s="102" t="s">
        <v>2495</v>
      </c>
      <c r="D20" s="102" t="s">
        <v>2496</v>
      </c>
      <c r="E20" s="102" t="s">
        <v>2497</v>
      </c>
      <c r="F20" s="102" t="s">
        <v>2498</v>
      </c>
      <c r="G20" s="102" t="s">
        <v>2499</v>
      </c>
      <c r="H20" s="102" t="s">
        <v>2500</v>
      </c>
      <c r="I20" s="102" t="s">
        <v>1838</v>
      </c>
      <c r="J20" s="131" t="s">
        <v>45</v>
      </c>
      <c r="K20" s="99" t="s">
        <v>2501</v>
      </c>
      <c r="L20" s="19"/>
    </row>
    <row r="21" spans="1:12" ht="75">
      <c r="A21" s="101" t="s">
        <v>2493</v>
      </c>
      <c r="B21" s="102" t="s">
        <v>2494</v>
      </c>
      <c r="C21" s="102" t="s">
        <v>2502</v>
      </c>
      <c r="D21" s="102" t="s">
        <v>2503</v>
      </c>
      <c r="E21" s="102" t="s">
        <v>2504</v>
      </c>
      <c r="F21" s="102" t="s">
        <v>2505</v>
      </c>
      <c r="G21" s="102" t="s">
        <v>2506</v>
      </c>
      <c r="H21" s="102" t="s">
        <v>2507</v>
      </c>
      <c r="I21" s="102" t="s">
        <v>51</v>
      </c>
      <c r="J21" s="131" t="s">
        <v>45</v>
      </c>
      <c r="K21" s="16"/>
      <c r="L21" s="19"/>
    </row>
    <row r="22" spans="1:12" ht="128.25" customHeight="1">
      <c r="A22" s="101" t="s">
        <v>2493</v>
      </c>
      <c r="B22" s="102" t="s">
        <v>2494</v>
      </c>
      <c r="C22" s="102" t="s">
        <v>2508</v>
      </c>
      <c r="D22" s="102" t="s">
        <v>2509</v>
      </c>
      <c r="E22" s="102" t="s">
        <v>2510</v>
      </c>
      <c r="F22" s="102" t="s">
        <v>2511</v>
      </c>
      <c r="G22" s="102" t="s">
        <v>2512</v>
      </c>
      <c r="H22" s="102" t="s">
        <v>2513</v>
      </c>
      <c r="I22" s="102" t="s">
        <v>1838</v>
      </c>
      <c r="J22" s="131" t="s">
        <v>45</v>
      </c>
      <c r="K22" s="156" t="s">
        <v>2501</v>
      </c>
      <c r="L22" s="19"/>
    </row>
    <row r="23" spans="1:12" ht="75">
      <c r="A23" s="101" t="s">
        <v>2493</v>
      </c>
      <c r="B23" s="102" t="s">
        <v>2494</v>
      </c>
      <c r="C23" s="102" t="s">
        <v>2514</v>
      </c>
      <c r="D23" s="102" t="s">
        <v>2515</v>
      </c>
      <c r="E23" s="102" t="s">
        <v>2516</v>
      </c>
      <c r="F23" s="102" t="s">
        <v>2517</v>
      </c>
      <c r="G23" s="102" t="s">
        <v>2518</v>
      </c>
      <c r="H23" s="102" t="s">
        <v>2519</v>
      </c>
      <c r="I23" s="102" t="s">
        <v>51</v>
      </c>
      <c r="J23" s="131" t="s">
        <v>45</v>
      </c>
      <c r="K23" s="16"/>
      <c r="L23" s="19"/>
    </row>
    <row r="24" spans="1:12" ht="200.25" customHeight="1">
      <c r="A24" s="101" t="s">
        <v>2520</v>
      </c>
      <c r="B24" s="102" t="s">
        <v>2521</v>
      </c>
      <c r="C24" s="102" t="s">
        <v>2522</v>
      </c>
      <c r="D24" s="102" t="s">
        <v>2523</v>
      </c>
      <c r="E24" s="102" t="s">
        <v>2510</v>
      </c>
      <c r="F24" s="102" t="s">
        <v>2524</v>
      </c>
      <c r="G24" s="102" t="s">
        <v>2525</v>
      </c>
      <c r="H24" s="102" t="s">
        <v>2525</v>
      </c>
      <c r="I24" s="102" t="s">
        <v>1838</v>
      </c>
      <c r="J24" s="131" t="s">
        <v>45</v>
      </c>
      <c r="K24" s="15" t="s">
        <v>2526</v>
      </c>
      <c r="L24" s="19"/>
    </row>
    <row r="25" spans="1:12" ht="75">
      <c r="A25" s="101" t="s">
        <v>2520</v>
      </c>
      <c r="B25" s="102" t="s">
        <v>2521</v>
      </c>
      <c r="C25" s="102" t="s">
        <v>2527</v>
      </c>
      <c r="D25" s="102" t="s">
        <v>2528</v>
      </c>
      <c r="E25" s="102" t="s">
        <v>2510</v>
      </c>
      <c r="F25" s="102" t="s">
        <v>2529</v>
      </c>
      <c r="G25" s="102" t="s">
        <v>2530</v>
      </c>
      <c r="H25" s="102" t="s">
        <v>2531</v>
      </c>
      <c r="I25" s="102" t="s">
        <v>51</v>
      </c>
      <c r="J25" s="131" t="s">
        <v>45</v>
      </c>
      <c r="K25" s="16"/>
      <c r="L25" s="19"/>
    </row>
    <row r="26" spans="1:12" ht="196.5" customHeight="1">
      <c r="A26" s="101" t="s">
        <v>2520</v>
      </c>
      <c r="B26" s="102" t="s">
        <v>2521</v>
      </c>
      <c r="C26" s="102" t="s">
        <v>2532</v>
      </c>
      <c r="D26" s="102" t="s">
        <v>2533</v>
      </c>
      <c r="E26" s="102" t="s">
        <v>2534</v>
      </c>
      <c r="F26" s="102" t="s">
        <v>2535</v>
      </c>
      <c r="G26" s="102" t="s">
        <v>2536</v>
      </c>
      <c r="H26" s="102" t="s">
        <v>2537</v>
      </c>
      <c r="I26" s="102" t="s">
        <v>51</v>
      </c>
      <c r="J26" s="131" t="s">
        <v>45</v>
      </c>
      <c r="K26" s="16"/>
      <c r="L26" s="19"/>
    </row>
    <row r="27" spans="1:12" ht="123" customHeight="1">
      <c r="A27" s="101" t="s">
        <v>2520</v>
      </c>
      <c r="B27" s="102" t="s">
        <v>2521</v>
      </c>
      <c r="C27" s="102" t="s">
        <v>2538</v>
      </c>
      <c r="D27" s="102" t="s">
        <v>2539</v>
      </c>
      <c r="E27" s="102" t="s">
        <v>2510</v>
      </c>
      <c r="F27" s="102" t="s">
        <v>2540</v>
      </c>
      <c r="G27" s="102" t="s">
        <v>2541</v>
      </c>
      <c r="H27" s="102" t="s">
        <v>2542</v>
      </c>
      <c r="I27" s="102" t="s">
        <v>51</v>
      </c>
      <c r="J27" s="131" t="s">
        <v>45</v>
      </c>
      <c r="K27" s="156"/>
      <c r="L27" s="19"/>
    </row>
    <row r="28" spans="1:12" ht="45">
      <c r="A28" s="101" t="s">
        <v>2520</v>
      </c>
      <c r="B28" s="102" t="s">
        <v>2521</v>
      </c>
      <c r="C28" s="102" t="s">
        <v>2543</v>
      </c>
      <c r="D28" s="102" t="s">
        <v>2544</v>
      </c>
      <c r="E28" s="102" t="s">
        <v>2510</v>
      </c>
      <c r="F28" s="102" t="s">
        <v>2545</v>
      </c>
      <c r="G28" s="102" t="s">
        <v>2546</v>
      </c>
      <c r="H28" s="102" t="s">
        <v>2547</v>
      </c>
      <c r="I28" s="102" t="s">
        <v>51</v>
      </c>
      <c r="J28" s="131" t="s">
        <v>45</v>
      </c>
      <c r="K28" s="16"/>
      <c r="L28" s="19"/>
    </row>
    <row r="29" spans="1:12" ht="60">
      <c r="A29" s="101" t="s">
        <v>2520</v>
      </c>
      <c r="B29" s="102" t="s">
        <v>2521</v>
      </c>
      <c r="C29" s="102" t="s">
        <v>2548</v>
      </c>
      <c r="D29" s="102" t="s">
        <v>2549</v>
      </c>
      <c r="E29" s="102" t="s">
        <v>2550</v>
      </c>
      <c r="F29" s="102" t="s">
        <v>2551</v>
      </c>
      <c r="G29" s="102" t="s">
        <v>2552</v>
      </c>
      <c r="H29" s="102" t="s">
        <v>2553</v>
      </c>
      <c r="I29" s="102" t="s">
        <v>44</v>
      </c>
      <c r="J29" s="131" t="s">
        <v>45</v>
      </c>
      <c r="K29" s="16"/>
      <c r="L29" s="19"/>
    </row>
    <row r="30" spans="1:12" ht="75">
      <c r="A30" s="101" t="s">
        <v>2554</v>
      </c>
      <c r="B30" s="102" t="s">
        <v>2555</v>
      </c>
      <c r="C30" s="102" t="s">
        <v>2556</v>
      </c>
      <c r="D30" s="102" t="s">
        <v>2557</v>
      </c>
      <c r="E30" s="102" t="s">
        <v>2510</v>
      </c>
      <c r="F30" s="102" t="s">
        <v>2558</v>
      </c>
      <c r="G30" s="102" t="s">
        <v>2559</v>
      </c>
      <c r="H30" s="102" t="s">
        <v>2560</v>
      </c>
      <c r="I30" s="102" t="s">
        <v>1838</v>
      </c>
      <c r="J30" s="131" t="s">
        <v>45</v>
      </c>
      <c r="K30" s="16"/>
      <c r="L30" s="19"/>
    </row>
    <row r="31" spans="1:12" ht="60">
      <c r="A31" s="101" t="s">
        <v>2554</v>
      </c>
      <c r="B31" s="102" t="s">
        <v>2555</v>
      </c>
      <c r="C31" s="102" t="s">
        <v>2561</v>
      </c>
      <c r="D31" s="102" t="s">
        <v>2562</v>
      </c>
      <c r="E31" s="102" t="s">
        <v>2563</v>
      </c>
      <c r="F31" s="102" t="s">
        <v>2564</v>
      </c>
      <c r="G31" s="102" t="s">
        <v>2565</v>
      </c>
      <c r="H31" s="102" t="s">
        <v>2565</v>
      </c>
      <c r="I31" s="102" t="s">
        <v>51</v>
      </c>
      <c r="J31" s="131" t="s">
        <v>45</v>
      </c>
      <c r="K31" s="15"/>
      <c r="L31" s="19"/>
    </row>
    <row r="32" spans="1:12" ht="105">
      <c r="A32" s="101" t="s">
        <v>2554</v>
      </c>
      <c r="B32" s="102" t="s">
        <v>2555</v>
      </c>
      <c r="C32" s="102" t="s">
        <v>2566</v>
      </c>
      <c r="D32" s="102" t="s">
        <v>2567</v>
      </c>
      <c r="E32" s="102" t="s">
        <v>2510</v>
      </c>
      <c r="F32" s="102" t="s">
        <v>2568</v>
      </c>
      <c r="G32" s="102" t="s">
        <v>2569</v>
      </c>
      <c r="H32" s="102" t="s">
        <v>2570</v>
      </c>
      <c r="I32" s="102" t="s">
        <v>51</v>
      </c>
      <c r="J32" s="131" t="s">
        <v>45</v>
      </c>
      <c r="K32" s="15"/>
      <c r="L32" s="19"/>
    </row>
    <row r="33" spans="1:12" ht="105">
      <c r="A33" s="101" t="s">
        <v>2554</v>
      </c>
      <c r="B33" s="102" t="s">
        <v>2555</v>
      </c>
      <c r="C33" s="102" t="s">
        <v>2571</v>
      </c>
      <c r="D33" s="102" t="s">
        <v>2572</v>
      </c>
      <c r="E33" s="102" t="s">
        <v>2510</v>
      </c>
      <c r="F33" s="102" t="s">
        <v>2573</v>
      </c>
      <c r="G33" s="102" t="s">
        <v>2574</v>
      </c>
      <c r="H33" s="102" t="s">
        <v>2575</v>
      </c>
      <c r="I33" s="102" t="s">
        <v>51</v>
      </c>
      <c r="J33" s="131" t="s">
        <v>45</v>
      </c>
      <c r="K33" s="16"/>
      <c r="L33" s="19"/>
    </row>
    <row r="34" spans="1:12" ht="90.75" customHeight="1">
      <c r="A34" s="101" t="s">
        <v>2554</v>
      </c>
      <c r="B34" s="102" t="s">
        <v>2555</v>
      </c>
      <c r="C34" s="102" t="s">
        <v>2576</v>
      </c>
      <c r="D34" s="102" t="s">
        <v>2577</v>
      </c>
      <c r="E34" s="102" t="s">
        <v>2510</v>
      </c>
      <c r="F34" s="102" t="s">
        <v>2578</v>
      </c>
      <c r="G34" s="102" t="s">
        <v>2579</v>
      </c>
      <c r="H34" s="102" t="s">
        <v>2580</v>
      </c>
      <c r="I34" s="102" t="s">
        <v>51</v>
      </c>
      <c r="J34" s="131" t="s">
        <v>45</v>
      </c>
      <c r="K34" s="16"/>
      <c r="L34" s="19"/>
    </row>
    <row r="35" spans="1:12" ht="45">
      <c r="A35" s="101" t="s">
        <v>2554</v>
      </c>
      <c r="B35" s="102" t="s">
        <v>2555</v>
      </c>
      <c r="C35" s="102" t="s">
        <v>2581</v>
      </c>
      <c r="D35" s="102" t="s">
        <v>2582</v>
      </c>
      <c r="E35" s="102" t="s">
        <v>2583</v>
      </c>
      <c r="F35" s="102" t="s">
        <v>2584</v>
      </c>
      <c r="G35" s="102" t="s">
        <v>2585</v>
      </c>
      <c r="H35" s="102" t="s">
        <v>2586</v>
      </c>
      <c r="I35" s="102" t="s">
        <v>44</v>
      </c>
      <c r="J35" s="131" t="s">
        <v>45</v>
      </c>
      <c r="K35" s="16"/>
      <c r="L35" s="19"/>
    </row>
    <row r="36" spans="1:12" ht="45">
      <c r="A36" s="101" t="s">
        <v>2587</v>
      </c>
      <c r="B36" s="102" t="s">
        <v>2588</v>
      </c>
      <c r="C36" s="102" t="s">
        <v>2589</v>
      </c>
      <c r="D36" s="102" t="s">
        <v>2590</v>
      </c>
      <c r="E36" s="102" t="s">
        <v>2591</v>
      </c>
      <c r="F36" s="102" t="s">
        <v>2592</v>
      </c>
      <c r="G36" s="102" t="s">
        <v>2593</v>
      </c>
      <c r="H36" s="102" t="s">
        <v>2593</v>
      </c>
      <c r="I36" s="102" t="s">
        <v>1838</v>
      </c>
      <c r="J36" s="131" t="s">
        <v>45</v>
      </c>
      <c r="K36" s="16"/>
      <c r="L36" s="19"/>
    </row>
    <row r="37" spans="1:12" ht="180.75" customHeight="1">
      <c r="A37" s="101" t="s">
        <v>2587</v>
      </c>
      <c r="B37" s="102" t="s">
        <v>2588</v>
      </c>
      <c r="C37" s="102" t="s">
        <v>2594</v>
      </c>
      <c r="D37" s="102" t="s">
        <v>2595</v>
      </c>
      <c r="E37" s="102" t="s">
        <v>2516</v>
      </c>
      <c r="F37" s="102" t="s">
        <v>2596</v>
      </c>
      <c r="G37" s="102" t="s">
        <v>2597</v>
      </c>
      <c r="H37" s="102" t="s">
        <v>2598</v>
      </c>
      <c r="I37" s="102" t="s">
        <v>51</v>
      </c>
      <c r="J37" s="131" t="s">
        <v>45</v>
      </c>
      <c r="K37" s="16"/>
      <c r="L37" s="19"/>
    </row>
    <row r="38" spans="1:12" ht="60">
      <c r="A38" s="101" t="s">
        <v>2587</v>
      </c>
      <c r="B38" s="102" t="s">
        <v>2588</v>
      </c>
      <c r="C38" s="102" t="s">
        <v>2599</v>
      </c>
      <c r="D38" s="102" t="s">
        <v>2600</v>
      </c>
      <c r="E38" s="102" t="s">
        <v>2601</v>
      </c>
      <c r="F38" s="102" t="s">
        <v>2602</v>
      </c>
      <c r="G38" s="102" t="s">
        <v>2603</v>
      </c>
      <c r="H38" s="102" t="s">
        <v>2604</v>
      </c>
      <c r="I38" s="102" t="s">
        <v>51</v>
      </c>
      <c r="J38" s="131" t="s">
        <v>45</v>
      </c>
      <c r="K38" s="16"/>
      <c r="L38" s="19"/>
    </row>
    <row r="39" spans="1:12" ht="60">
      <c r="A39" s="101" t="s">
        <v>2587</v>
      </c>
      <c r="B39" s="102" t="s">
        <v>2588</v>
      </c>
      <c r="C39" s="102" t="s">
        <v>2605</v>
      </c>
      <c r="D39" s="102" t="s">
        <v>2606</v>
      </c>
      <c r="E39" s="102" t="s">
        <v>2607</v>
      </c>
      <c r="F39" s="102" t="s">
        <v>2608</v>
      </c>
      <c r="G39" s="102" t="s">
        <v>2609</v>
      </c>
      <c r="H39" s="102" t="s">
        <v>2610</v>
      </c>
      <c r="I39" s="102" t="s">
        <v>51</v>
      </c>
      <c r="J39" s="131" t="s">
        <v>45</v>
      </c>
      <c r="K39" s="16"/>
      <c r="L39" s="19"/>
    </row>
    <row r="40" spans="1:12" ht="105">
      <c r="A40" s="101" t="s">
        <v>2587</v>
      </c>
      <c r="B40" s="102" t="s">
        <v>2588</v>
      </c>
      <c r="C40" s="102" t="s">
        <v>2611</v>
      </c>
      <c r="D40" s="102" t="s">
        <v>2612</v>
      </c>
      <c r="E40" s="102" t="s">
        <v>2613</v>
      </c>
      <c r="F40" s="102" t="s">
        <v>2614</v>
      </c>
      <c r="G40" s="102" t="s">
        <v>2615</v>
      </c>
      <c r="H40" s="102" t="s">
        <v>2616</v>
      </c>
      <c r="I40" s="102" t="s">
        <v>51</v>
      </c>
      <c r="J40" s="131" t="s">
        <v>45</v>
      </c>
      <c r="K40" s="16"/>
      <c r="L40" s="19"/>
    </row>
    <row r="41" spans="1:12" ht="63" customHeight="1">
      <c r="A41" s="101" t="s">
        <v>2587</v>
      </c>
      <c r="B41" s="102" t="s">
        <v>2588</v>
      </c>
      <c r="C41" s="102" t="s">
        <v>2617</v>
      </c>
      <c r="D41" s="102" t="s">
        <v>2618</v>
      </c>
      <c r="E41" s="102" t="s">
        <v>2619</v>
      </c>
      <c r="F41" s="102" t="s">
        <v>2620</v>
      </c>
      <c r="G41" s="102" t="s">
        <v>2621</v>
      </c>
      <c r="H41" s="102" t="s">
        <v>2622</v>
      </c>
      <c r="I41" s="102" t="s">
        <v>51</v>
      </c>
      <c r="J41" s="131" t="s">
        <v>45</v>
      </c>
      <c r="K41" s="16"/>
      <c r="L41" s="19"/>
    </row>
    <row r="42" spans="1:12" ht="91.5" customHeight="1">
      <c r="A42" s="101" t="s">
        <v>2623</v>
      </c>
      <c r="B42" s="102" t="s">
        <v>2624</v>
      </c>
      <c r="C42" s="102" t="s">
        <v>2625</v>
      </c>
      <c r="D42" s="102" t="s">
        <v>2626</v>
      </c>
      <c r="E42" s="102" t="s">
        <v>2510</v>
      </c>
      <c r="F42" s="102" t="s">
        <v>2627</v>
      </c>
      <c r="G42" s="102" t="s">
        <v>2628</v>
      </c>
      <c r="H42" s="102" t="s">
        <v>2629</v>
      </c>
      <c r="I42" s="102" t="s">
        <v>44</v>
      </c>
      <c r="J42" s="131" t="s">
        <v>45</v>
      </c>
      <c r="K42" s="16"/>
      <c r="L42" s="19"/>
    </row>
    <row r="43" spans="1:12" ht="108.75" customHeight="1">
      <c r="A43" s="101" t="s">
        <v>2623</v>
      </c>
      <c r="B43" s="102" t="s">
        <v>2624</v>
      </c>
      <c r="C43" s="102" t="s">
        <v>2630</v>
      </c>
      <c r="D43" s="102" t="s">
        <v>2631</v>
      </c>
      <c r="E43" s="102" t="s">
        <v>2632</v>
      </c>
      <c r="F43" s="102" t="s">
        <v>2633</v>
      </c>
      <c r="G43" s="102" t="s">
        <v>2634</v>
      </c>
      <c r="H43" s="102" t="s">
        <v>2635</v>
      </c>
      <c r="I43" s="102" t="s">
        <v>44</v>
      </c>
      <c r="J43" s="131" t="s">
        <v>45</v>
      </c>
      <c r="K43" s="16"/>
      <c r="L43" s="19"/>
    </row>
    <row r="44" spans="1:12" ht="108.75" customHeight="1">
      <c r="A44" s="101" t="s">
        <v>2623</v>
      </c>
      <c r="B44" s="102" t="s">
        <v>2624</v>
      </c>
      <c r="C44" s="102" t="s">
        <v>2636</v>
      </c>
      <c r="D44" s="102" t="s">
        <v>2637</v>
      </c>
      <c r="E44" s="102" t="s">
        <v>2510</v>
      </c>
      <c r="F44" s="102" t="s">
        <v>2638</v>
      </c>
      <c r="G44" s="102" t="s">
        <v>2639</v>
      </c>
      <c r="H44" s="102" t="s">
        <v>2640</v>
      </c>
      <c r="I44" s="102" t="s">
        <v>44</v>
      </c>
      <c r="J44" s="131" t="s">
        <v>45</v>
      </c>
      <c r="K44" s="16"/>
      <c r="L44" s="19"/>
    </row>
    <row r="45" spans="1:12" ht="75">
      <c r="A45" s="101" t="s">
        <v>2623</v>
      </c>
      <c r="B45" s="102" t="s">
        <v>2624</v>
      </c>
      <c r="C45" s="102" t="s">
        <v>2641</v>
      </c>
      <c r="D45" s="102" t="s">
        <v>2642</v>
      </c>
      <c r="E45" s="102" t="s">
        <v>2510</v>
      </c>
      <c r="F45" s="102" t="s">
        <v>2643</v>
      </c>
      <c r="G45" s="102" t="s">
        <v>2644</v>
      </c>
      <c r="H45" s="102" t="s">
        <v>2645</v>
      </c>
      <c r="I45" s="102" t="s">
        <v>51</v>
      </c>
      <c r="J45" s="131" t="s">
        <v>45</v>
      </c>
      <c r="K45" s="16"/>
      <c r="L45" s="29"/>
    </row>
    <row r="46" spans="1:12" ht="75">
      <c r="A46" s="101" t="s">
        <v>2623</v>
      </c>
      <c r="B46" s="102" t="s">
        <v>2624</v>
      </c>
      <c r="C46" s="102" t="s">
        <v>2646</v>
      </c>
      <c r="D46" s="102" t="s">
        <v>2647</v>
      </c>
      <c r="E46" s="102" t="s">
        <v>2648</v>
      </c>
      <c r="F46" s="102" t="s">
        <v>2649</v>
      </c>
      <c r="G46" s="102" t="s">
        <v>2650</v>
      </c>
      <c r="H46" s="102" t="s">
        <v>2650</v>
      </c>
      <c r="I46" s="102" t="s">
        <v>56</v>
      </c>
      <c r="J46" s="131" t="s">
        <v>45</v>
      </c>
      <c r="K46" s="16"/>
      <c r="L46" s="29"/>
    </row>
    <row r="47" spans="1:12" ht="75">
      <c r="A47" s="101" t="s">
        <v>2623</v>
      </c>
      <c r="B47" s="102" t="s">
        <v>2624</v>
      </c>
      <c r="C47" s="102" t="s">
        <v>2651</v>
      </c>
      <c r="D47" s="102" t="s">
        <v>2652</v>
      </c>
      <c r="E47" s="102" t="s">
        <v>2653</v>
      </c>
      <c r="F47" s="102" t="s">
        <v>2654</v>
      </c>
      <c r="G47" s="102" t="s">
        <v>2655</v>
      </c>
      <c r="H47" s="102" t="s">
        <v>2655</v>
      </c>
      <c r="I47" s="102" t="s">
        <v>1838</v>
      </c>
      <c r="J47" s="131" t="s">
        <v>45</v>
      </c>
      <c r="K47" s="16"/>
      <c r="L47" s="29"/>
    </row>
    <row r="48" spans="1:12" ht="75">
      <c r="A48" s="101" t="s">
        <v>2623</v>
      </c>
      <c r="B48" s="102" t="s">
        <v>2624</v>
      </c>
      <c r="C48" s="102" t="s">
        <v>2656</v>
      </c>
      <c r="D48" s="102" t="s">
        <v>2657</v>
      </c>
      <c r="E48" s="102" t="s">
        <v>2658</v>
      </c>
      <c r="F48" s="102" t="s">
        <v>2659</v>
      </c>
      <c r="G48" s="102" t="s">
        <v>2660</v>
      </c>
      <c r="H48" s="102" t="s">
        <v>2661</v>
      </c>
      <c r="I48" s="102" t="s">
        <v>51</v>
      </c>
      <c r="J48" s="131" t="s">
        <v>45</v>
      </c>
      <c r="K48" s="15" t="s">
        <v>2662</v>
      </c>
      <c r="L48" s="29"/>
    </row>
    <row r="49" spans="1:12" ht="75">
      <c r="A49" s="101" t="s">
        <v>2663</v>
      </c>
      <c r="B49" s="102" t="s">
        <v>2664</v>
      </c>
      <c r="C49" s="102" t="s">
        <v>2665</v>
      </c>
      <c r="D49" s="102" t="s">
        <v>2666</v>
      </c>
      <c r="E49" s="102" t="s">
        <v>2510</v>
      </c>
      <c r="F49" s="102" t="s">
        <v>2667</v>
      </c>
      <c r="G49" s="102" t="s">
        <v>2668</v>
      </c>
      <c r="H49" s="102" t="s">
        <v>2669</v>
      </c>
      <c r="I49" s="102" t="s">
        <v>56</v>
      </c>
      <c r="J49" s="131" t="s">
        <v>45</v>
      </c>
      <c r="K49" s="16"/>
      <c r="L49" s="29"/>
    </row>
    <row r="50" spans="1:12" ht="75">
      <c r="A50" s="101" t="s">
        <v>2663</v>
      </c>
      <c r="B50" s="102" t="s">
        <v>2664</v>
      </c>
      <c r="C50" s="102" t="s">
        <v>2670</v>
      </c>
      <c r="D50" s="102" t="s">
        <v>2671</v>
      </c>
      <c r="E50" s="102" t="s">
        <v>2672</v>
      </c>
      <c r="F50" s="102" t="s">
        <v>2673</v>
      </c>
      <c r="G50" s="102" t="s">
        <v>2674</v>
      </c>
      <c r="H50" s="102" t="s">
        <v>2675</v>
      </c>
      <c r="I50" s="102" t="s">
        <v>56</v>
      </c>
      <c r="J50" s="131" t="s">
        <v>45</v>
      </c>
      <c r="K50" s="16"/>
      <c r="L50" s="29"/>
    </row>
    <row r="51" spans="1:12" ht="90">
      <c r="A51" s="101" t="s">
        <v>2663</v>
      </c>
      <c r="B51" s="102" t="s">
        <v>2664</v>
      </c>
      <c r="C51" s="102" t="s">
        <v>2676</v>
      </c>
      <c r="D51" s="102" t="s">
        <v>2677</v>
      </c>
      <c r="E51" s="102" t="s">
        <v>2678</v>
      </c>
      <c r="F51" s="102" t="s">
        <v>2679</v>
      </c>
      <c r="G51" s="102" t="s">
        <v>2680</v>
      </c>
      <c r="H51" s="102" t="s">
        <v>2681</v>
      </c>
      <c r="I51" s="102" t="s">
        <v>56</v>
      </c>
      <c r="J51" s="131" t="s">
        <v>45</v>
      </c>
      <c r="K51" s="16"/>
      <c r="L51" s="29"/>
    </row>
    <row r="52" spans="1:12" ht="90">
      <c r="A52" s="101" t="s">
        <v>2663</v>
      </c>
      <c r="B52" s="102" t="s">
        <v>2664</v>
      </c>
      <c r="C52" s="102" t="s">
        <v>2682</v>
      </c>
      <c r="D52" s="102" t="s">
        <v>2683</v>
      </c>
      <c r="E52" s="102" t="s">
        <v>2684</v>
      </c>
      <c r="F52" s="102" t="s">
        <v>2685</v>
      </c>
      <c r="G52" s="102" t="s">
        <v>2686</v>
      </c>
      <c r="H52" s="102" t="s">
        <v>2687</v>
      </c>
      <c r="I52" s="102" t="s">
        <v>56</v>
      </c>
      <c r="J52" s="131" t="s">
        <v>45</v>
      </c>
      <c r="K52" s="16"/>
      <c r="L52" s="29"/>
    </row>
    <row r="53" spans="1:12" ht="105">
      <c r="A53" s="101" t="s">
        <v>2688</v>
      </c>
      <c r="B53" s="102" t="s">
        <v>2689</v>
      </c>
      <c r="C53" s="102" t="s">
        <v>2690</v>
      </c>
      <c r="D53" s="102" t="s">
        <v>2691</v>
      </c>
      <c r="E53" s="102" t="s">
        <v>2510</v>
      </c>
      <c r="F53" s="102" t="s">
        <v>2692</v>
      </c>
      <c r="G53" s="102" t="s">
        <v>2693</v>
      </c>
      <c r="H53" s="102" t="s">
        <v>2694</v>
      </c>
      <c r="I53" s="102" t="s">
        <v>51</v>
      </c>
      <c r="J53" s="131" t="s">
        <v>45</v>
      </c>
      <c r="K53" s="16"/>
      <c r="L53" s="29"/>
    </row>
    <row r="54" spans="1:12" ht="90">
      <c r="A54" s="101" t="s">
        <v>2688</v>
      </c>
      <c r="B54" s="102" t="s">
        <v>2689</v>
      </c>
      <c r="C54" s="102" t="s">
        <v>2695</v>
      </c>
      <c r="D54" s="102" t="s">
        <v>2696</v>
      </c>
      <c r="E54" s="102" t="s">
        <v>2510</v>
      </c>
      <c r="F54" s="102" t="s">
        <v>2697</v>
      </c>
      <c r="G54" s="102" t="s">
        <v>2698</v>
      </c>
      <c r="H54" s="102" t="s">
        <v>2699</v>
      </c>
      <c r="I54" s="102" t="s">
        <v>44</v>
      </c>
      <c r="J54" s="131" t="s">
        <v>45</v>
      </c>
      <c r="K54" s="16"/>
      <c r="L54" s="29"/>
    </row>
    <row r="55" spans="1:12" ht="90">
      <c r="A55" s="101" t="s">
        <v>2688</v>
      </c>
      <c r="B55" s="102" t="s">
        <v>2689</v>
      </c>
      <c r="C55" s="102" t="s">
        <v>2695</v>
      </c>
      <c r="D55" s="102" t="s">
        <v>2696</v>
      </c>
      <c r="E55" s="102" t="s">
        <v>2510</v>
      </c>
      <c r="F55" s="102" t="s">
        <v>2697</v>
      </c>
      <c r="G55" s="102" t="s">
        <v>2698</v>
      </c>
      <c r="H55" s="102" t="s">
        <v>2699</v>
      </c>
      <c r="I55" s="102" t="s">
        <v>44</v>
      </c>
      <c r="J55" s="131" t="s">
        <v>45</v>
      </c>
      <c r="K55" s="16"/>
      <c r="L55" s="29"/>
    </row>
    <row r="56" spans="1:12">
      <c r="A56" s="101"/>
      <c r="B56" s="101"/>
      <c r="C56" s="101"/>
      <c r="D56" s="101"/>
      <c r="E56" s="101"/>
      <c r="F56" s="101"/>
      <c r="G56" s="101"/>
      <c r="H56" s="101"/>
      <c r="I56" s="101"/>
      <c r="J56" s="158"/>
      <c r="K56" s="101"/>
      <c r="L56" s="101"/>
    </row>
    <row r="57" spans="1:12">
      <c r="A57" s="101"/>
      <c r="B57" s="101"/>
      <c r="C57" s="101"/>
      <c r="D57" s="101"/>
      <c r="E57" s="101"/>
      <c r="F57" s="101"/>
      <c r="G57" s="101"/>
      <c r="H57" s="101"/>
      <c r="I57" s="101"/>
      <c r="J57" s="158"/>
      <c r="K57" s="101"/>
      <c r="L57" s="101"/>
    </row>
    <row r="58" spans="1:12">
      <c r="A58" s="101"/>
      <c r="B58" s="101"/>
      <c r="C58" s="101"/>
      <c r="D58" s="101"/>
      <c r="E58" s="101"/>
      <c r="F58" s="101"/>
      <c r="G58" s="101"/>
      <c r="H58" s="101"/>
      <c r="I58" s="101"/>
      <c r="J58" s="158"/>
      <c r="K58" s="101"/>
      <c r="L58" s="101"/>
    </row>
    <row r="59" spans="1:12">
      <c r="A59" s="101"/>
      <c r="B59" s="101"/>
      <c r="C59" s="101"/>
      <c r="D59" s="101"/>
      <c r="E59" s="101"/>
      <c r="F59" s="101"/>
      <c r="G59" s="101"/>
      <c r="H59" s="101"/>
      <c r="I59" s="101"/>
      <c r="J59" s="158"/>
      <c r="K59" s="101"/>
      <c r="L59" s="101"/>
    </row>
    <row r="60" spans="1:12">
      <c r="A60" s="101"/>
      <c r="B60" s="101"/>
      <c r="C60" s="101"/>
      <c r="D60" s="101"/>
      <c r="E60" s="101"/>
      <c r="F60" s="101"/>
      <c r="G60" s="101"/>
      <c r="H60" s="101"/>
      <c r="I60" s="101"/>
      <c r="J60" s="158"/>
      <c r="K60" s="101"/>
      <c r="L60" s="101"/>
    </row>
    <row r="61" spans="1:12">
      <c r="A61" s="101"/>
      <c r="B61" s="101"/>
      <c r="C61" s="101"/>
      <c r="D61" s="101"/>
      <c r="E61" s="101"/>
      <c r="F61" s="101"/>
      <c r="G61" s="101"/>
      <c r="H61" s="101"/>
      <c r="I61" s="101"/>
      <c r="J61" s="158"/>
      <c r="K61" s="101"/>
      <c r="L61" s="101"/>
    </row>
    <row r="62" spans="1:12">
      <c r="A62" s="101"/>
      <c r="B62" s="101"/>
      <c r="C62" s="101"/>
      <c r="D62" s="101"/>
      <c r="E62" s="101"/>
      <c r="F62" s="101"/>
      <c r="G62" s="101"/>
      <c r="H62" s="101"/>
      <c r="I62" s="101"/>
      <c r="J62" s="158"/>
      <c r="K62" s="101"/>
      <c r="L62" s="101"/>
    </row>
    <row r="63" spans="1:12">
      <c r="A63" s="101"/>
      <c r="B63" s="101"/>
      <c r="C63" s="101"/>
      <c r="D63" s="101"/>
      <c r="E63" s="101"/>
      <c r="F63" s="101"/>
      <c r="G63" s="101"/>
      <c r="H63" s="101"/>
      <c r="I63" s="101"/>
      <c r="J63" s="158"/>
      <c r="K63" s="101"/>
      <c r="L63" s="101"/>
    </row>
    <row r="64" spans="1:12">
      <c r="A64" s="101"/>
      <c r="B64" s="101"/>
      <c r="C64" s="101"/>
      <c r="D64" s="101"/>
      <c r="E64" s="101"/>
      <c r="F64" s="101"/>
      <c r="G64" s="101"/>
      <c r="H64" s="101"/>
      <c r="I64" s="101"/>
      <c r="J64" s="158"/>
      <c r="K64" s="101"/>
      <c r="L64" s="101"/>
    </row>
    <row r="65" spans="1:12">
      <c r="A65" s="101"/>
      <c r="B65" s="101"/>
      <c r="C65" s="101"/>
      <c r="D65" s="101"/>
      <c r="E65" s="101"/>
      <c r="F65" s="101"/>
      <c r="G65" s="101"/>
      <c r="H65" s="101"/>
      <c r="I65" s="101"/>
      <c r="J65" s="158"/>
      <c r="K65" s="101"/>
      <c r="L65" s="101"/>
    </row>
    <row r="66" spans="1:12">
      <c r="A66" s="101"/>
      <c r="B66" s="101"/>
      <c r="C66" s="101"/>
      <c r="D66" s="101"/>
      <c r="E66" s="101"/>
      <c r="F66" s="101"/>
      <c r="G66" s="101"/>
      <c r="H66" s="101"/>
      <c r="I66" s="101"/>
      <c r="J66" s="158"/>
      <c r="K66" s="101"/>
      <c r="L66" s="101"/>
    </row>
    <row r="67" spans="1:12">
      <c r="A67" s="101"/>
      <c r="B67" s="101"/>
      <c r="C67" s="101"/>
      <c r="D67" s="101"/>
      <c r="E67" s="101"/>
      <c r="F67" s="101"/>
      <c r="G67" s="101"/>
      <c r="H67" s="101"/>
      <c r="I67" s="101"/>
      <c r="J67" s="158"/>
      <c r="K67" s="101"/>
      <c r="L67" s="101"/>
    </row>
    <row r="68" spans="1:12">
      <c r="A68" s="101"/>
      <c r="B68" s="101"/>
      <c r="C68" s="101"/>
      <c r="D68" s="101"/>
      <c r="E68" s="101"/>
      <c r="F68" s="101"/>
      <c r="G68" s="101"/>
      <c r="H68" s="101"/>
      <c r="I68" s="101"/>
      <c r="J68" s="158"/>
      <c r="K68" s="101"/>
      <c r="L68" s="101"/>
    </row>
    <row r="69" spans="1:12">
      <c r="A69" s="101"/>
      <c r="B69" s="101"/>
      <c r="C69" s="101"/>
      <c r="D69" s="101"/>
      <c r="E69" s="101"/>
      <c r="F69" s="101"/>
      <c r="G69" s="101"/>
      <c r="H69" s="101"/>
      <c r="I69" s="101"/>
      <c r="J69" s="158"/>
      <c r="K69" s="101"/>
      <c r="L69" s="101"/>
    </row>
    <row r="70" spans="1:12">
      <c r="A70" s="101"/>
      <c r="B70" s="101"/>
      <c r="C70" s="101"/>
      <c r="D70" s="101"/>
      <c r="E70" s="101"/>
      <c r="F70" s="101"/>
      <c r="G70" s="101"/>
      <c r="H70" s="101"/>
      <c r="I70" s="101"/>
      <c r="J70" s="158"/>
      <c r="K70" s="101"/>
      <c r="L70" s="101"/>
    </row>
    <row r="71" spans="1:12">
      <c r="A71" s="101"/>
      <c r="B71" s="101"/>
      <c r="C71" s="101"/>
      <c r="D71" s="101"/>
      <c r="E71" s="101"/>
      <c r="F71" s="101"/>
      <c r="G71" s="101"/>
      <c r="H71" s="101"/>
      <c r="I71" s="101"/>
      <c r="J71" s="158"/>
      <c r="K71" s="101"/>
      <c r="L71" s="101"/>
    </row>
    <row r="72" spans="1:12">
      <c r="A72" s="101"/>
      <c r="B72" s="101"/>
      <c r="C72" s="101"/>
      <c r="D72" s="101"/>
      <c r="E72" s="101"/>
      <c r="F72" s="101"/>
      <c r="G72" s="101"/>
      <c r="H72" s="101"/>
      <c r="I72" s="101"/>
      <c r="J72" s="158"/>
      <c r="K72" s="101"/>
      <c r="L72" s="101"/>
    </row>
    <row r="73" spans="1:12">
      <c r="A73" s="101"/>
      <c r="B73" s="101"/>
      <c r="C73" s="101"/>
      <c r="D73" s="101"/>
      <c r="E73" s="101"/>
      <c r="F73" s="101"/>
      <c r="G73" s="101"/>
      <c r="H73" s="101"/>
      <c r="I73" s="101"/>
      <c r="J73" s="158"/>
      <c r="K73" s="101"/>
      <c r="L73" s="101"/>
    </row>
    <row r="74" spans="1:12">
      <c r="A74" s="101"/>
      <c r="B74" s="101"/>
      <c r="C74" s="101"/>
      <c r="D74" s="101"/>
      <c r="E74" s="101"/>
      <c r="F74" s="101"/>
      <c r="G74" s="101"/>
      <c r="H74" s="101"/>
      <c r="I74" s="101"/>
      <c r="J74" s="158"/>
      <c r="K74" s="101"/>
      <c r="L74" s="101"/>
    </row>
    <row r="75" spans="1:12">
      <c r="A75" s="101"/>
      <c r="B75" s="101"/>
      <c r="C75" s="101"/>
      <c r="D75" s="101"/>
      <c r="E75" s="101"/>
      <c r="F75" s="101"/>
      <c r="G75" s="101"/>
      <c r="H75" s="101"/>
      <c r="I75" s="101"/>
      <c r="J75" s="158"/>
      <c r="K75" s="101"/>
      <c r="L75" s="101"/>
    </row>
    <row r="76" spans="1:12">
      <c r="A76" s="101"/>
      <c r="B76" s="101"/>
      <c r="C76" s="101"/>
      <c r="D76" s="101"/>
      <c r="E76" s="101"/>
      <c r="F76" s="101"/>
      <c r="G76" s="101"/>
      <c r="H76" s="101"/>
      <c r="I76" s="101"/>
      <c r="J76" s="158"/>
      <c r="K76" s="101"/>
      <c r="L76" s="101"/>
    </row>
    <row r="77" spans="1:12">
      <c r="A77" s="101"/>
      <c r="B77" s="101"/>
      <c r="C77" s="101"/>
      <c r="D77" s="101"/>
      <c r="E77" s="101"/>
      <c r="F77" s="101"/>
      <c r="G77" s="101"/>
      <c r="H77" s="101"/>
      <c r="I77" s="101"/>
      <c r="J77" s="158"/>
      <c r="K77" s="101"/>
      <c r="L77" s="101"/>
    </row>
    <row r="78" spans="1:12">
      <c r="A78" s="101"/>
      <c r="B78" s="101"/>
      <c r="C78" s="101"/>
      <c r="D78" s="101"/>
      <c r="E78" s="101"/>
      <c r="F78" s="101"/>
      <c r="G78" s="101"/>
      <c r="H78" s="101"/>
      <c r="I78" s="101"/>
      <c r="J78" s="158"/>
      <c r="K78" s="101"/>
      <c r="L78" s="101"/>
    </row>
    <row r="79" spans="1:12">
      <c r="A79" s="101"/>
      <c r="B79" s="101"/>
      <c r="C79" s="101"/>
      <c r="D79" s="101"/>
      <c r="E79" s="101"/>
      <c r="F79" s="101"/>
      <c r="G79" s="101"/>
      <c r="H79" s="101"/>
      <c r="I79" s="101"/>
      <c r="J79" s="158"/>
      <c r="K79" s="101"/>
      <c r="L79" s="101"/>
    </row>
    <row r="80" spans="1:12">
      <c r="A80" s="101"/>
      <c r="B80" s="101"/>
      <c r="C80" s="101"/>
      <c r="D80" s="101"/>
      <c r="E80" s="101"/>
      <c r="F80" s="101"/>
      <c r="G80" s="101"/>
      <c r="H80" s="101"/>
      <c r="I80" s="101"/>
      <c r="J80" s="158"/>
      <c r="K80" s="101"/>
      <c r="L80" s="101"/>
    </row>
    <row r="81" spans="1:12">
      <c r="A81" s="101"/>
      <c r="B81" s="101"/>
      <c r="C81" s="101"/>
      <c r="D81" s="101"/>
      <c r="E81" s="101"/>
      <c r="F81" s="101"/>
      <c r="G81" s="101"/>
      <c r="H81" s="101"/>
      <c r="I81" s="101"/>
      <c r="J81" s="158"/>
      <c r="K81" s="101"/>
      <c r="L81" s="101"/>
    </row>
    <row r="82" spans="1:12">
      <c r="A82" s="101"/>
      <c r="B82" s="101"/>
      <c r="C82" s="101"/>
      <c r="D82" s="101"/>
      <c r="E82" s="101"/>
      <c r="F82" s="101"/>
      <c r="G82" s="101"/>
      <c r="H82" s="101"/>
      <c r="I82" s="101"/>
      <c r="J82" s="158"/>
      <c r="K82" s="101"/>
      <c r="L82" s="101"/>
    </row>
    <row r="83" spans="1:12">
      <c r="A83" s="101"/>
      <c r="B83" s="101"/>
      <c r="C83" s="101"/>
      <c r="D83" s="101"/>
      <c r="E83" s="101"/>
      <c r="F83" s="101"/>
      <c r="G83" s="101"/>
      <c r="H83" s="101"/>
      <c r="I83" s="101"/>
      <c r="J83" s="158"/>
      <c r="K83" s="101"/>
      <c r="L83" s="101"/>
    </row>
  </sheetData>
  <mergeCells count="8">
    <mergeCell ref="B7:D7"/>
    <mergeCell ref="A8:A9"/>
    <mergeCell ref="B1:D1"/>
    <mergeCell ref="B2:D2"/>
    <mergeCell ref="B3:D3"/>
    <mergeCell ref="B4:D4"/>
    <mergeCell ref="B5:D5"/>
    <mergeCell ref="B6:D6"/>
  </mergeCells>
  <hyperlinks>
    <hyperlink ref="B2" r:id="rId1" xr:uid="{9F2FAC5F-6C45-4DF2-8C5D-1AEC7FFEF40E}"/>
    <hyperlink ref="B3" r:id="rId2" xr:uid="{5BC38591-47C8-4018-B1A6-D9671B55028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0A3A-A412-40C9-AF9B-BE158E6B336D}">
  <dimension ref="A1:L69"/>
  <sheetViews>
    <sheetView topLeftCell="A68" workbookViewId="0">
      <selection activeCell="J49" sqref="J49"/>
    </sheetView>
  </sheetViews>
  <sheetFormatPr defaultColWidth="8.85546875" defaultRowHeight="15"/>
  <cols>
    <col min="1" max="1" width="29.28515625" customWidth="1"/>
    <col min="2" max="2" width="16.7109375" customWidth="1"/>
    <col min="3" max="3" width="21.42578125" customWidth="1"/>
    <col min="4" max="4" width="25.42578125" customWidth="1"/>
    <col min="5" max="5" width="27.140625" customWidth="1"/>
    <col min="6" max="8" width="37" customWidth="1"/>
    <col min="9" max="9" width="20.42578125" style="30" customWidth="1"/>
    <col min="10" max="10" width="20.42578125" style="74" customWidth="1"/>
    <col min="11" max="11" width="20.42578125" customWidth="1"/>
  </cols>
  <sheetData>
    <row r="1" spans="1:12" ht="18">
      <c r="A1" s="1" t="s">
        <v>439</v>
      </c>
      <c r="B1" s="192" t="s">
        <v>2700</v>
      </c>
      <c r="C1" s="192"/>
      <c r="D1" s="192"/>
      <c r="H1" s="60" t="s">
        <v>2</v>
      </c>
      <c r="I1" s="60" t="s">
        <v>3</v>
      </c>
      <c r="J1" s="60" t="s">
        <v>4</v>
      </c>
      <c r="K1" s="60" t="s">
        <v>5</v>
      </c>
    </row>
    <row r="2" spans="1:12" ht="42" customHeight="1">
      <c r="A2" s="2" t="s">
        <v>441</v>
      </c>
      <c r="B2" s="173" t="s">
        <v>7</v>
      </c>
      <c r="C2" s="174"/>
      <c r="D2" s="174"/>
      <c r="H2" s="99" t="s">
        <v>8</v>
      </c>
      <c r="I2" s="127">
        <v>46118</v>
      </c>
      <c r="J2" s="99" t="s">
        <v>2701</v>
      </c>
      <c r="K2" s="72" t="s">
        <v>2702</v>
      </c>
    </row>
    <row r="3" spans="1:12" ht="42" customHeight="1">
      <c r="A3" s="1" t="s">
        <v>445</v>
      </c>
      <c r="B3" s="176" t="s">
        <v>13</v>
      </c>
      <c r="C3" s="177"/>
      <c r="D3" s="177"/>
      <c r="H3" s="99"/>
      <c r="I3" s="99" t="s">
        <v>2703</v>
      </c>
      <c r="J3" s="99" t="s">
        <v>2701</v>
      </c>
      <c r="K3" s="72" t="s">
        <v>2704</v>
      </c>
    </row>
    <row r="4" spans="1:12" ht="42" customHeight="1">
      <c r="A4" s="1" t="s">
        <v>448</v>
      </c>
      <c r="B4" s="193" t="s">
        <v>15</v>
      </c>
      <c r="C4" s="193"/>
      <c r="D4" s="193"/>
    </row>
    <row r="5" spans="1:12" ht="42" customHeight="1">
      <c r="A5" s="1" t="s">
        <v>450</v>
      </c>
      <c r="B5" s="194">
        <v>45668</v>
      </c>
      <c r="C5" s="194"/>
      <c r="D5" s="194"/>
    </row>
    <row r="6" spans="1:12" ht="42" customHeight="1">
      <c r="A6" s="1" t="s">
        <v>451</v>
      </c>
      <c r="B6" s="195" t="s">
        <v>18</v>
      </c>
      <c r="C6" s="195"/>
      <c r="D6" s="195"/>
    </row>
    <row r="7" spans="1:12" ht="42" customHeight="1">
      <c r="A7" s="1" t="s">
        <v>452</v>
      </c>
      <c r="B7" s="189" t="s">
        <v>8</v>
      </c>
      <c r="C7" s="189"/>
      <c r="D7" s="189"/>
    </row>
    <row r="8" spans="1:12" ht="36">
      <c r="A8" s="190" t="s">
        <v>453</v>
      </c>
      <c r="B8" s="3" t="s">
        <v>454</v>
      </c>
      <c r="C8" s="4" t="s">
        <v>22</v>
      </c>
      <c r="D8" s="5" t="s">
        <v>23</v>
      </c>
    </row>
    <row r="9" spans="1:12" ht="17.100000000000001">
      <c r="A9" s="191"/>
      <c r="B9" s="6">
        <f>COUNTIF(J:J,"Pass")+COUNTIF(J:J,"Fail") +COUNTIF(J:J,"Open") + COUNTIF(J:J,"Pending") + COUNTIF(J:J,"Fixed")</f>
        <v>59</v>
      </c>
      <c r="C9" s="6">
        <f>COUNTIF(
J:J,"Pass")</f>
        <v>59</v>
      </c>
      <c r="D9" s="6">
        <f xml:space="preserve"> COUNTIF(
J:J,"Fail")</f>
        <v>0</v>
      </c>
    </row>
    <row r="10" spans="1:12" ht="72">
      <c r="A10" s="7" t="s">
        <v>455</v>
      </c>
      <c r="B10" s="8" t="s">
        <v>456</v>
      </c>
      <c r="C10" s="8" t="s">
        <v>457</v>
      </c>
      <c r="D10" s="8" t="s">
        <v>458</v>
      </c>
      <c r="E10" s="9" t="s">
        <v>459</v>
      </c>
      <c r="F10" s="10" t="s">
        <v>460</v>
      </c>
      <c r="G10" s="11" t="s">
        <v>461</v>
      </c>
      <c r="H10" s="13" t="s">
        <v>462</v>
      </c>
      <c r="I10" s="12" t="s">
        <v>32</v>
      </c>
      <c r="J10" s="12" t="s">
        <v>463</v>
      </c>
      <c r="K10" s="8" t="s">
        <v>464</v>
      </c>
      <c r="L10" s="12" t="s">
        <v>35</v>
      </c>
    </row>
    <row r="11" spans="1:12" ht="120">
      <c r="A11" s="97" t="s">
        <v>2705</v>
      </c>
      <c r="B11" s="106" t="s">
        <v>466</v>
      </c>
      <c r="C11" s="106" t="s">
        <v>2706</v>
      </c>
      <c r="D11" s="106" t="s">
        <v>2707</v>
      </c>
      <c r="E11" s="106" t="s">
        <v>2440</v>
      </c>
      <c r="F11" s="106" t="s">
        <v>2708</v>
      </c>
      <c r="G11" s="106" t="s">
        <v>2709</v>
      </c>
      <c r="H11" s="106" t="s">
        <v>2710</v>
      </c>
      <c r="I11" s="106" t="s">
        <v>51</v>
      </c>
      <c r="J11" s="130" t="s">
        <v>45</v>
      </c>
      <c r="K11" s="16"/>
      <c r="L11" s="19"/>
    </row>
    <row r="12" spans="1:12" ht="90">
      <c r="A12" s="101" t="s">
        <v>2705</v>
      </c>
      <c r="B12" s="102" t="s">
        <v>466</v>
      </c>
      <c r="C12" s="102" t="s">
        <v>2711</v>
      </c>
      <c r="D12" s="102" t="s">
        <v>2712</v>
      </c>
      <c r="E12" s="102" t="s">
        <v>2713</v>
      </c>
      <c r="F12" s="102" t="s">
        <v>2714</v>
      </c>
      <c r="G12" s="102" t="s">
        <v>2715</v>
      </c>
      <c r="H12" s="102" t="s">
        <v>2716</v>
      </c>
      <c r="I12" s="102" t="s">
        <v>44</v>
      </c>
      <c r="J12" s="131" t="s">
        <v>45</v>
      </c>
      <c r="K12" s="16"/>
      <c r="L12" s="19"/>
    </row>
    <row r="13" spans="1:12" ht="75">
      <c r="A13" s="101" t="s">
        <v>2705</v>
      </c>
      <c r="B13" s="102" t="s">
        <v>466</v>
      </c>
      <c r="C13" s="102" t="s">
        <v>2717</v>
      </c>
      <c r="D13" s="102" t="s">
        <v>2463</v>
      </c>
      <c r="E13" s="102" t="s">
        <v>2718</v>
      </c>
      <c r="F13" s="102" t="s">
        <v>2719</v>
      </c>
      <c r="G13" s="102" t="s">
        <v>2720</v>
      </c>
      <c r="H13" s="102" t="s">
        <v>2467</v>
      </c>
      <c r="I13" s="102" t="s">
        <v>44</v>
      </c>
      <c r="J13" s="131" t="s">
        <v>45</v>
      </c>
      <c r="K13" s="16"/>
      <c r="L13" s="19"/>
    </row>
    <row r="14" spans="1:12" ht="75" customHeight="1">
      <c r="A14" s="101" t="s">
        <v>2721</v>
      </c>
      <c r="B14" s="102" t="s">
        <v>2722</v>
      </c>
      <c r="C14" s="102" t="s">
        <v>2723</v>
      </c>
      <c r="D14" s="102" t="s">
        <v>2724</v>
      </c>
      <c r="E14" s="102" t="s">
        <v>2718</v>
      </c>
      <c r="F14" s="102" t="s">
        <v>2725</v>
      </c>
      <c r="G14" s="102" t="s">
        <v>2726</v>
      </c>
      <c r="H14" s="102" t="s">
        <v>2727</v>
      </c>
      <c r="I14" s="102" t="s">
        <v>44</v>
      </c>
      <c r="J14" s="131" t="s">
        <v>45</v>
      </c>
      <c r="K14" s="16"/>
      <c r="L14" s="19"/>
    </row>
    <row r="15" spans="1:12" ht="105.75" customHeight="1">
      <c r="A15" s="101" t="s">
        <v>2721</v>
      </c>
      <c r="B15" s="102" t="s">
        <v>2722</v>
      </c>
      <c r="C15" s="102" t="s">
        <v>2728</v>
      </c>
      <c r="D15" s="102" t="s">
        <v>2729</v>
      </c>
      <c r="E15" s="102" t="s">
        <v>2718</v>
      </c>
      <c r="F15" s="102" t="s">
        <v>2730</v>
      </c>
      <c r="G15" s="102" t="s">
        <v>2731</v>
      </c>
      <c r="H15" s="102" t="s">
        <v>2732</v>
      </c>
      <c r="I15" s="102" t="s">
        <v>44</v>
      </c>
      <c r="J15" s="131" t="s">
        <v>45</v>
      </c>
      <c r="K15" s="16"/>
      <c r="L15" s="19"/>
    </row>
    <row r="16" spans="1:12" ht="60">
      <c r="A16" s="101" t="s">
        <v>2721</v>
      </c>
      <c r="B16" s="102" t="s">
        <v>2722</v>
      </c>
      <c r="C16" s="102" t="s">
        <v>2733</v>
      </c>
      <c r="D16" s="102" t="s">
        <v>2734</v>
      </c>
      <c r="E16" s="102" t="s">
        <v>2718</v>
      </c>
      <c r="F16" s="102" t="s">
        <v>2735</v>
      </c>
      <c r="G16" s="102" t="s">
        <v>2736</v>
      </c>
      <c r="H16" s="102" t="s">
        <v>2737</v>
      </c>
      <c r="I16" s="102" t="s">
        <v>44</v>
      </c>
      <c r="J16" s="131" t="s">
        <v>45</v>
      </c>
      <c r="K16" s="16"/>
      <c r="L16" s="19"/>
    </row>
    <row r="17" spans="1:12" ht="75">
      <c r="A17" s="101" t="s">
        <v>2721</v>
      </c>
      <c r="B17" s="102" t="s">
        <v>2722</v>
      </c>
      <c r="C17" s="102" t="s">
        <v>2738</v>
      </c>
      <c r="D17" s="102" t="s">
        <v>2739</v>
      </c>
      <c r="E17" s="102" t="s">
        <v>2718</v>
      </c>
      <c r="F17" s="102" t="s">
        <v>2740</v>
      </c>
      <c r="G17" s="102" t="s">
        <v>2741</v>
      </c>
      <c r="H17" s="102" t="s">
        <v>2742</v>
      </c>
      <c r="I17" s="102" t="s">
        <v>44</v>
      </c>
      <c r="J17" s="131" t="s">
        <v>45</v>
      </c>
      <c r="K17" s="16"/>
      <c r="L17" s="19"/>
    </row>
    <row r="18" spans="1:12" ht="135">
      <c r="A18" s="101" t="s">
        <v>2743</v>
      </c>
      <c r="B18" s="102" t="s">
        <v>2744</v>
      </c>
      <c r="C18" s="102" t="s">
        <v>2745</v>
      </c>
      <c r="D18" s="102" t="s">
        <v>2746</v>
      </c>
      <c r="E18" s="102" t="s">
        <v>2747</v>
      </c>
      <c r="F18" s="102" t="s">
        <v>2748</v>
      </c>
      <c r="G18" s="102" t="s">
        <v>2749</v>
      </c>
      <c r="H18" s="102" t="s">
        <v>2750</v>
      </c>
      <c r="I18" s="102" t="s">
        <v>44</v>
      </c>
      <c r="J18" s="131" t="s">
        <v>45</v>
      </c>
      <c r="K18" s="16"/>
      <c r="L18" s="19"/>
    </row>
    <row r="19" spans="1:12" ht="45">
      <c r="A19" s="101" t="s">
        <v>2743</v>
      </c>
      <c r="B19" s="102" t="s">
        <v>2744</v>
      </c>
      <c r="C19" s="102" t="s">
        <v>2751</v>
      </c>
      <c r="D19" s="102" t="s">
        <v>2752</v>
      </c>
      <c r="E19" s="102" t="s">
        <v>2718</v>
      </c>
      <c r="F19" s="102" t="s">
        <v>2753</v>
      </c>
      <c r="G19" s="102" t="s">
        <v>2754</v>
      </c>
      <c r="H19" s="102" t="s">
        <v>2755</v>
      </c>
      <c r="I19" s="102" t="s">
        <v>51</v>
      </c>
      <c r="J19" s="131" t="s">
        <v>45</v>
      </c>
      <c r="K19" s="16"/>
      <c r="L19" s="19"/>
    </row>
    <row r="20" spans="1:12" ht="135">
      <c r="A20" s="101" t="s">
        <v>2743</v>
      </c>
      <c r="B20" s="102" t="s">
        <v>2744</v>
      </c>
      <c r="C20" s="102" t="s">
        <v>2756</v>
      </c>
      <c r="D20" s="102" t="s">
        <v>2757</v>
      </c>
      <c r="E20" s="102" t="s">
        <v>2758</v>
      </c>
      <c r="F20" s="102" t="s">
        <v>2759</v>
      </c>
      <c r="G20" s="102" t="s">
        <v>2760</v>
      </c>
      <c r="H20" s="102" t="s">
        <v>2761</v>
      </c>
      <c r="I20" s="102" t="s">
        <v>44</v>
      </c>
      <c r="J20" s="131" t="s">
        <v>45</v>
      </c>
      <c r="K20" s="16"/>
      <c r="L20" s="19"/>
    </row>
    <row r="21" spans="1:12" ht="75">
      <c r="A21" s="101" t="s">
        <v>2762</v>
      </c>
      <c r="B21" s="102" t="s">
        <v>2763</v>
      </c>
      <c r="C21" s="102" t="s">
        <v>2764</v>
      </c>
      <c r="D21" s="102" t="s">
        <v>2765</v>
      </c>
      <c r="E21" s="102" t="s">
        <v>2766</v>
      </c>
      <c r="F21" s="102" t="s">
        <v>2767</v>
      </c>
      <c r="G21" s="102" t="s">
        <v>2768</v>
      </c>
      <c r="H21" s="102" t="s">
        <v>2769</v>
      </c>
      <c r="I21" s="102" t="s">
        <v>44</v>
      </c>
      <c r="J21" s="131" t="s">
        <v>45</v>
      </c>
      <c r="K21" s="16"/>
      <c r="L21" s="19"/>
    </row>
    <row r="22" spans="1:12" ht="128.25" customHeight="1">
      <c r="A22" s="101" t="s">
        <v>2762</v>
      </c>
      <c r="B22" s="102" t="s">
        <v>2763</v>
      </c>
      <c r="C22" s="102" t="s">
        <v>2770</v>
      </c>
      <c r="D22" s="102" t="s">
        <v>2771</v>
      </c>
      <c r="E22" s="102" t="s">
        <v>2772</v>
      </c>
      <c r="F22" s="102" t="s">
        <v>2773</v>
      </c>
      <c r="G22" s="102" t="s">
        <v>2774</v>
      </c>
      <c r="H22" s="102" t="s">
        <v>2775</v>
      </c>
      <c r="I22" s="102" t="s">
        <v>44</v>
      </c>
      <c r="J22" s="131" t="s">
        <v>45</v>
      </c>
      <c r="K22" s="16"/>
      <c r="L22" s="19"/>
    </row>
    <row r="23" spans="1:12" ht="60">
      <c r="A23" s="101" t="s">
        <v>2762</v>
      </c>
      <c r="B23" s="102" t="s">
        <v>2763</v>
      </c>
      <c r="C23" s="102" t="s">
        <v>2776</v>
      </c>
      <c r="D23" s="102" t="s">
        <v>2777</v>
      </c>
      <c r="E23" s="102" t="s">
        <v>2778</v>
      </c>
      <c r="F23" s="102" t="s">
        <v>2779</v>
      </c>
      <c r="G23" s="102" t="s">
        <v>2780</v>
      </c>
      <c r="H23" s="102" t="s">
        <v>2781</v>
      </c>
      <c r="I23" s="102" t="s">
        <v>51</v>
      </c>
      <c r="J23" s="131" t="s">
        <v>45</v>
      </c>
      <c r="K23" s="16"/>
      <c r="L23" s="19"/>
    </row>
    <row r="24" spans="1:12" ht="200.25" customHeight="1">
      <c r="A24" s="101" t="s">
        <v>2762</v>
      </c>
      <c r="B24" s="102" t="s">
        <v>2763</v>
      </c>
      <c r="C24" s="102" t="s">
        <v>2782</v>
      </c>
      <c r="D24" s="102" t="s">
        <v>2783</v>
      </c>
      <c r="E24" s="102" t="s">
        <v>2784</v>
      </c>
      <c r="F24" s="102" t="s">
        <v>2785</v>
      </c>
      <c r="G24" s="102" t="s">
        <v>2786</v>
      </c>
      <c r="H24" s="102" t="s">
        <v>2787</v>
      </c>
      <c r="I24" s="102" t="s">
        <v>44</v>
      </c>
      <c r="J24" s="131" t="s">
        <v>45</v>
      </c>
      <c r="K24" s="16"/>
      <c r="L24" s="19"/>
    </row>
    <row r="25" spans="1:12" ht="75">
      <c r="A25" s="101" t="s">
        <v>2762</v>
      </c>
      <c r="B25" s="102" t="s">
        <v>2763</v>
      </c>
      <c r="C25" s="102" t="s">
        <v>2788</v>
      </c>
      <c r="D25" s="102" t="s">
        <v>2789</v>
      </c>
      <c r="E25" s="102" t="s">
        <v>2790</v>
      </c>
      <c r="F25" s="102" t="s">
        <v>2791</v>
      </c>
      <c r="G25" s="102" t="s">
        <v>2792</v>
      </c>
      <c r="H25" s="102" t="s">
        <v>2793</v>
      </c>
      <c r="I25" s="102" t="s">
        <v>44</v>
      </c>
      <c r="J25" s="131" t="s">
        <v>45</v>
      </c>
      <c r="K25" s="16"/>
      <c r="L25" s="19"/>
    </row>
    <row r="26" spans="1:12" ht="196.5" customHeight="1">
      <c r="A26" s="101" t="s">
        <v>2794</v>
      </c>
      <c r="B26" s="102" t="s">
        <v>2795</v>
      </c>
      <c r="C26" s="102" t="s">
        <v>2796</v>
      </c>
      <c r="D26" s="102" t="s">
        <v>2797</v>
      </c>
      <c r="E26" s="102" t="s">
        <v>2798</v>
      </c>
      <c r="F26" s="102" t="s">
        <v>2799</v>
      </c>
      <c r="G26" s="102" t="s">
        <v>2800</v>
      </c>
      <c r="H26" s="102" t="s">
        <v>2801</v>
      </c>
      <c r="I26" s="102" t="s">
        <v>44</v>
      </c>
      <c r="J26" s="131" t="s">
        <v>45</v>
      </c>
      <c r="K26" s="16"/>
      <c r="L26" s="19"/>
    </row>
    <row r="27" spans="1:12" ht="123" customHeight="1">
      <c r="A27" s="101" t="s">
        <v>2794</v>
      </c>
      <c r="B27" s="102" t="s">
        <v>2795</v>
      </c>
      <c r="C27" s="102" t="s">
        <v>2802</v>
      </c>
      <c r="D27" s="102" t="s">
        <v>2803</v>
      </c>
      <c r="E27" s="102" t="s">
        <v>2804</v>
      </c>
      <c r="F27" s="102" t="s">
        <v>2805</v>
      </c>
      <c r="G27" s="102" t="s">
        <v>2806</v>
      </c>
      <c r="H27" s="102" t="s">
        <v>2807</v>
      </c>
      <c r="I27" s="102" t="s">
        <v>44</v>
      </c>
      <c r="J27" s="131" t="s">
        <v>45</v>
      </c>
      <c r="K27" s="16"/>
      <c r="L27" s="19"/>
    </row>
    <row r="28" spans="1:12" ht="75">
      <c r="A28" s="101" t="s">
        <v>2808</v>
      </c>
      <c r="B28" s="102" t="s">
        <v>2809</v>
      </c>
      <c r="C28" s="102" t="s">
        <v>2810</v>
      </c>
      <c r="D28" s="102" t="s">
        <v>2811</v>
      </c>
      <c r="E28" s="102" t="s">
        <v>2812</v>
      </c>
      <c r="F28" s="102" t="s">
        <v>2813</v>
      </c>
      <c r="G28" s="102" t="s">
        <v>2814</v>
      </c>
      <c r="H28" s="102" t="s">
        <v>2815</v>
      </c>
      <c r="I28" s="102" t="s">
        <v>44</v>
      </c>
      <c r="J28" s="131" t="s">
        <v>45</v>
      </c>
      <c r="K28" s="16"/>
      <c r="L28" s="19"/>
    </row>
    <row r="29" spans="1:12" ht="120">
      <c r="A29" s="101" t="s">
        <v>2808</v>
      </c>
      <c r="B29" s="102" t="s">
        <v>2809</v>
      </c>
      <c r="C29" s="102" t="s">
        <v>2816</v>
      </c>
      <c r="D29" s="102" t="s">
        <v>2817</v>
      </c>
      <c r="E29" s="102" t="s">
        <v>2818</v>
      </c>
      <c r="F29" s="102" t="s">
        <v>2819</v>
      </c>
      <c r="G29" s="102" t="s">
        <v>2820</v>
      </c>
      <c r="H29" s="102" t="s">
        <v>2821</v>
      </c>
      <c r="I29" s="102" t="s">
        <v>44</v>
      </c>
      <c r="J29" s="131" t="s">
        <v>45</v>
      </c>
      <c r="K29" s="16"/>
      <c r="L29" s="19"/>
    </row>
    <row r="30" spans="1:12" ht="120">
      <c r="A30" s="101" t="s">
        <v>2808</v>
      </c>
      <c r="B30" s="102" t="s">
        <v>2809</v>
      </c>
      <c r="C30" s="102" t="s">
        <v>2822</v>
      </c>
      <c r="D30" s="102" t="s">
        <v>2823</v>
      </c>
      <c r="E30" s="102" t="s">
        <v>2824</v>
      </c>
      <c r="F30" s="102" t="s">
        <v>2825</v>
      </c>
      <c r="G30" s="102" t="s">
        <v>2826</v>
      </c>
      <c r="H30" s="102" t="s">
        <v>2827</v>
      </c>
      <c r="I30" s="102" t="s">
        <v>51</v>
      </c>
      <c r="J30" s="131" t="s">
        <v>45</v>
      </c>
      <c r="K30" s="16"/>
      <c r="L30" s="19"/>
    </row>
    <row r="31" spans="1:12" ht="90">
      <c r="A31" s="101" t="s">
        <v>2808</v>
      </c>
      <c r="B31" s="102" t="s">
        <v>2809</v>
      </c>
      <c r="C31" s="102" t="s">
        <v>2828</v>
      </c>
      <c r="D31" s="102" t="s">
        <v>2829</v>
      </c>
      <c r="E31" s="102" t="s">
        <v>2830</v>
      </c>
      <c r="F31" s="102" t="s">
        <v>2831</v>
      </c>
      <c r="G31" s="102" t="s">
        <v>2832</v>
      </c>
      <c r="H31" s="102" t="s">
        <v>2833</v>
      </c>
      <c r="I31" s="102" t="s">
        <v>51</v>
      </c>
      <c r="J31" s="131" t="s">
        <v>45</v>
      </c>
      <c r="K31" s="16"/>
      <c r="L31" s="19"/>
    </row>
    <row r="32" spans="1:12" ht="60">
      <c r="A32" s="101" t="s">
        <v>2808</v>
      </c>
      <c r="B32" s="102" t="s">
        <v>2809</v>
      </c>
      <c r="C32" s="102" t="s">
        <v>2834</v>
      </c>
      <c r="D32" s="102" t="s">
        <v>2835</v>
      </c>
      <c r="E32" s="102" t="s">
        <v>2836</v>
      </c>
      <c r="F32" s="102" t="s">
        <v>2837</v>
      </c>
      <c r="G32" s="102" t="s">
        <v>2838</v>
      </c>
      <c r="H32" s="102" t="s">
        <v>2839</v>
      </c>
      <c r="I32" s="102" t="s">
        <v>51</v>
      </c>
      <c r="J32" s="131" t="s">
        <v>45</v>
      </c>
      <c r="K32" s="16"/>
      <c r="L32" s="19"/>
    </row>
    <row r="33" spans="1:12" ht="105">
      <c r="A33" s="101" t="s">
        <v>2808</v>
      </c>
      <c r="B33" s="102" t="s">
        <v>2809</v>
      </c>
      <c r="C33" s="102" t="s">
        <v>2840</v>
      </c>
      <c r="D33" s="102" t="s">
        <v>2841</v>
      </c>
      <c r="E33" s="102" t="s">
        <v>2830</v>
      </c>
      <c r="F33" s="102" t="s">
        <v>2842</v>
      </c>
      <c r="G33" s="102" t="s">
        <v>2843</v>
      </c>
      <c r="H33" s="102" t="s">
        <v>2844</v>
      </c>
      <c r="I33" s="102" t="s">
        <v>44</v>
      </c>
      <c r="J33" s="131" t="s">
        <v>45</v>
      </c>
      <c r="K33" s="16"/>
      <c r="L33" s="19"/>
    </row>
    <row r="34" spans="1:12" ht="90.75" customHeight="1">
      <c r="A34" s="101" t="s">
        <v>2808</v>
      </c>
      <c r="B34" s="102" t="s">
        <v>2809</v>
      </c>
      <c r="C34" s="102" t="s">
        <v>2845</v>
      </c>
      <c r="D34" s="102" t="s">
        <v>2846</v>
      </c>
      <c r="E34" s="102" t="s">
        <v>2847</v>
      </c>
      <c r="F34" s="102" t="s">
        <v>2848</v>
      </c>
      <c r="G34" s="102" t="s">
        <v>2849</v>
      </c>
      <c r="H34" s="102" t="s">
        <v>2850</v>
      </c>
      <c r="I34" s="102" t="s">
        <v>51</v>
      </c>
      <c r="J34" s="131" t="s">
        <v>45</v>
      </c>
      <c r="K34" s="16"/>
      <c r="L34" s="19"/>
    </row>
    <row r="35" spans="1:12" ht="165">
      <c r="A35" s="101" t="s">
        <v>2851</v>
      </c>
      <c r="B35" s="102" t="s">
        <v>2852</v>
      </c>
      <c r="C35" s="102" t="s">
        <v>2853</v>
      </c>
      <c r="D35" s="102" t="s">
        <v>2854</v>
      </c>
      <c r="E35" s="102" t="s">
        <v>2855</v>
      </c>
      <c r="F35" s="102" t="s">
        <v>2856</v>
      </c>
      <c r="G35" s="102" t="s">
        <v>2857</v>
      </c>
      <c r="H35" s="102" t="s">
        <v>2858</v>
      </c>
      <c r="I35" s="102" t="s">
        <v>44</v>
      </c>
      <c r="J35" s="131" t="s">
        <v>45</v>
      </c>
      <c r="K35" s="16"/>
      <c r="L35" s="19"/>
    </row>
    <row r="36" spans="1:12" ht="60">
      <c r="A36" s="101" t="s">
        <v>2851</v>
      </c>
      <c r="B36" s="102" t="s">
        <v>2852</v>
      </c>
      <c r="C36" s="102" t="s">
        <v>2859</v>
      </c>
      <c r="D36" s="102" t="s">
        <v>2860</v>
      </c>
      <c r="E36" s="102" t="s">
        <v>2861</v>
      </c>
      <c r="F36" s="102" t="s">
        <v>2862</v>
      </c>
      <c r="G36" s="102" t="s">
        <v>2863</v>
      </c>
      <c r="H36" s="102" t="s">
        <v>2864</v>
      </c>
      <c r="I36" s="102" t="s">
        <v>44</v>
      </c>
      <c r="J36" s="131" t="s">
        <v>45</v>
      </c>
      <c r="K36" s="16"/>
      <c r="L36" s="19"/>
    </row>
    <row r="37" spans="1:12" ht="180.75" customHeight="1">
      <c r="A37" s="101" t="s">
        <v>2851</v>
      </c>
      <c r="B37" s="102" t="s">
        <v>2852</v>
      </c>
      <c r="C37" s="102" t="s">
        <v>2865</v>
      </c>
      <c r="D37" s="102" t="s">
        <v>2866</v>
      </c>
      <c r="E37" s="102" t="s">
        <v>2867</v>
      </c>
      <c r="F37" s="102" t="s">
        <v>2868</v>
      </c>
      <c r="G37" s="102" t="s">
        <v>2869</v>
      </c>
      <c r="H37" s="102" t="s">
        <v>2870</v>
      </c>
      <c r="I37" s="102" t="s">
        <v>51</v>
      </c>
      <c r="J37" s="131" t="s">
        <v>45</v>
      </c>
      <c r="K37" s="16"/>
      <c r="L37" s="19"/>
    </row>
    <row r="38" spans="1:12" ht="90">
      <c r="A38" s="101" t="s">
        <v>2851</v>
      </c>
      <c r="B38" s="102" t="s">
        <v>2852</v>
      </c>
      <c r="C38" s="102" t="s">
        <v>2871</v>
      </c>
      <c r="D38" s="102" t="s">
        <v>2872</v>
      </c>
      <c r="E38" s="102" t="s">
        <v>2873</v>
      </c>
      <c r="F38" s="102" t="s">
        <v>2874</v>
      </c>
      <c r="G38" s="102" t="s">
        <v>2875</v>
      </c>
      <c r="H38" s="102" t="s">
        <v>2876</v>
      </c>
      <c r="I38" s="102" t="s">
        <v>44</v>
      </c>
      <c r="J38" s="131" t="s">
        <v>45</v>
      </c>
      <c r="K38" s="16"/>
      <c r="L38" s="19"/>
    </row>
    <row r="39" spans="1:12" ht="45">
      <c r="A39" s="101" t="s">
        <v>2851</v>
      </c>
      <c r="B39" s="102" t="s">
        <v>2852</v>
      </c>
      <c r="C39" s="102" t="s">
        <v>2877</v>
      </c>
      <c r="D39" s="102" t="s">
        <v>2878</v>
      </c>
      <c r="E39" s="102" t="s">
        <v>2879</v>
      </c>
      <c r="F39" s="102" t="s">
        <v>2880</v>
      </c>
      <c r="G39" s="102" t="s">
        <v>2881</v>
      </c>
      <c r="H39" s="102" t="s">
        <v>2882</v>
      </c>
      <c r="I39" s="102" t="s">
        <v>51</v>
      </c>
      <c r="J39" s="131" t="s">
        <v>45</v>
      </c>
      <c r="K39" s="16"/>
      <c r="L39" s="19"/>
    </row>
    <row r="40" spans="1:12" ht="60">
      <c r="A40" s="101" t="s">
        <v>2851</v>
      </c>
      <c r="B40" s="102" t="s">
        <v>2852</v>
      </c>
      <c r="C40" s="102" t="s">
        <v>2883</v>
      </c>
      <c r="D40" s="102" t="s">
        <v>2884</v>
      </c>
      <c r="E40" s="102" t="s">
        <v>2885</v>
      </c>
      <c r="F40" s="102" t="s">
        <v>2886</v>
      </c>
      <c r="G40" s="102" t="s">
        <v>2887</v>
      </c>
      <c r="H40" s="102" t="s">
        <v>2888</v>
      </c>
      <c r="I40" s="102" t="s">
        <v>51</v>
      </c>
      <c r="J40" s="131" t="s">
        <v>45</v>
      </c>
      <c r="K40" s="16"/>
      <c r="L40" s="19"/>
    </row>
    <row r="41" spans="1:12" ht="63" customHeight="1">
      <c r="A41" s="101" t="s">
        <v>2889</v>
      </c>
      <c r="B41" s="102" t="s">
        <v>2890</v>
      </c>
      <c r="C41" s="102" t="s">
        <v>2891</v>
      </c>
      <c r="D41" s="102" t="s">
        <v>2892</v>
      </c>
      <c r="E41" s="102" t="s">
        <v>2893</v>
      </c>
      <c r="F41" s="102" t="s">
        <v>2894</v>
      </c>
      <c r="G41" s="102" t="s">
        <v>2895</v>
      </c>
      <c r="H41" s="102" t="s">
        <v>2896</v>
      </c>
      <c r="I41" s="102" t="s">
        <v>44</v>
      </c>
      <c r="J41" s="131" t="s">
        <v>45</v>
      </c>
      <c r="K41" s="16"/>
      <c r="L41" s="19"/>
    </row>
    <row r="42" spans="1:12" ht="91.5" customHeight="1">
      <c r="A42" s="101" t="s">
        <v>2889</v>
      </c>
      <c r="B42" s="102" t="s">
        <v>2890</v>
      </c>
      <c r="C42" s="102" t="s">
        <v>2897</v>
      </c>
      <c r="D42" s="102" t="s">
        <v>2898</v>
      </c>
      <c r="E42" s="102" t="s">
        <v>2899</v>
      </c>
      <c r="F42" s="102" t="s">
        <v>2900</v>
      </c>
      <c r="G42" s="102" t="s">
        <v>2901</v>
      </c>
      <c r="H42" s="102" t="s">
        <v>2902</v>
      </c>
      <c r="I42" s="102" t="s">
        <v>56</v>
      </c>
      <c r="J42" s="131" t="s">
        <v>45</v>
      </c>
      <c r="K42" s="16"/>
      <c r="L42" s="19"/>
    </row>
    <row r="43" spans="1:12" ht="108.75" customHeight="1">
      <c r="A43" s="101" t="s">
        <v>2889</v>
      </c>
      <c r="B43" s="102" t="s">
        <v>2890</v>
      </c>
      <c r="C43" s="102" t="s">
        <v>2903</v>
      </c>
      <c r="D43" s="102" t="s">
        <v>2904</v>
      </c>
      <c r="E43" s="102" t="s">
        <v>2905</v>
      </c>
      <c r="F43" s="102" t="s">
        <v>2906</v>
      </c>
      <c r="G43" s="102" t="s">
        <v>2907</v>
      </c>
      <c r="H43" s="102" t="s">
        <v>2908</v>
      </c>
      <c r="I43" s="102" t="s">
        <v>56</v>
      </c>
      <c r="J43" s="131" t="s">
        <v>45</v>
      </c>
      <c r="K43" s="16"/>
      <c r="L43" s="19"/>
    </row>
    <row r="44" spans="1:12" ht="108.75" customHeight="1">
      <c r="A44" s="101" t="s">
        <v>2889</v>
      </c>
      <c r="B44" s="102" t="s">
        <v>2890</v>
      </c>
      <c r="C44" s="102" t="s">
        <v>2909</v>
      </c>
      <c r="D44" s="102" t="s">
        <v>2910</v>
      </c>
      <c r="E44" s="102" t="s">
        <v>2905</v>
      </c>
      <c r="F44" s="102" t="s">
        <v>2911</v>
      </c>
      <c r="G44" s="102" t="s">
        <v>2912</v>
      </c>
      <c r="H44" s="102" t="s">
        <v>2913</v>
      </c>
      <c r="I44" s="102" t="s">
        <v>56</v>
      </c>
      <c r="J44" s="131" t="s">
        <v>45</v>
      </c>
      <c r="K44" s="16"/>
      <c r="L44" s="19"/>
    </row>
    <row r="45" spans="1:12" ht="60">
      <c r="A45" s="101" t="s">
        <v>2889</v>
      </c>
      <c r="B45" s="102" t="s">
        <v>2890</v>
      </c>
      <c r="C45" s="102" t="s">
        <v>2914</v>
      </c>
      <c r="D45" s="102" t="s">
        <v>2915</v>
      </c>
      <c r="E45" s="102" t="s">
        <v>2905</v>
      </c>
      <c r="F45" s="102" t="s">
        <v>2916</v>
      </c>
      <c r="G45" s="102" t="s">
        <v>2917</v>
      </c>
      <c r="H45" s="102" t="s">
        <v>2918</v>
      </c>
      <c r="I45" s="102" t="s">
        <v>56</v>
      </c>
      <c r="J45" s="131" t="s">
        <v>45</v>
      </c>
      <c r="K45" s="16"/>
      <c r="L45" s="29"/>
    </row>
    <row r="46" spans="1:12" ht="105">
      <c r="A46" s="101" t="s">
        <v>2889</v>
      </c>
      <c r="B46" s="102" t="s">
        <v>2890</v>
      </c>
      <c r="C46" s="102" t="s">
        <v>2919</v>
      </c>
      <c r="D46" s="102" t="s">
        <v>2920</v>
      </c>
      <c r="E46" s="102" t="s">
        <v>2921</v>
      </c>
      <c r="F46" s="102" t="s">
        <v>2922</v>
      </c>
      <c r="G46" s="102" t="s">
        <v>2923</v>
      </c>
      <c r="H46" s="102" t="s">
        <v>2924</v>
      </c>
      <c r="I46" s="102" t="s">
        <v>51</v>
      </c>
      <c r="J46" s="131" t="s">
        <v>45</v>
      </c>
      <c r="K46" s="16"/>
      <c r="L46" s="29"/>
    </row>
    <row r="47" spans="1:12" ht="75">
      <c r="A47" s="101" t="s">
        <v>2925</v>
      </c>
      <c r="B47" s="102" t="s">
        <v>2926</v>
      </c>
      <c r="C47" s="102" t="s">
        <v>2927</v>
      </c>
      <c r="D47" s="102" t="s">
        <v>2928</v>
      </c>
      <c r="E47" s="102" t="s">
        <v>2929</v>
      </c>
      <c r="F47" s="102" t="s">
        <v>2930</v>
      </c>
      <c r="G47" s="102" t="s">
        <v>2931</v>
      </c>
      <c r="H47" s="102" t="s">
        <v>2932</v>
      </c>
      <c r="I47" s="102" t="s">
        <v>44</v>
      </c>
      <c r="J47" s="131" t="s">
        <v>45</v>
      </c>
      <c r="K47" s="16"/>
      <c r="L47" s="29"/>
    </row>
    <row r="48" spans="1:12" ht="90">
      <c r="A48" s="101" t="s">
        <v>2925</v>
      </c>
      <c r="B48" s="102" t="s">
        <v>2926</v>
      </c>
      <c r="C48" s="102" t="s">
        <v>2933</v>
      </c>
      <c r="D48" s="102" t="s">
        <v>2934</v>
      </c>
      <c r="E48" s="102" t="s">
        <v>2935</v>
      </c>
      <c r="F48" s="102" t="s">
        <v>2936</v>
      </c>
      <c r="G48" s="102" t="s">
        <v>2937</v>
      </c>
      <c r="H48" s="102" t="s">
        <v>2938</v>
      </c>
      <c r="I48" s="102" t="s">
        <v>51</v>
      </c>
      <c r="J48" s="131" t="s">
        <v>45</v>
      </c>
      <c r="K48" s="16"/>
      <c r="L48" s="29"/>
    </row>
    <row r="49" spans="1:12" ht="180">
      <c r="A49" s="101" t="s">
        <v>2939</v>
      </c>
      <c r="B49" s="102" t="s">
        <v>2940</v>
      </c>
      <c r="C49" s="102" t="s">
        <v>2941</v>
      </c>
      <c r="D49" s="102" t="s">
        <v>2942</v>
      </c>
      <c r="E49" s="102" t="s">
        <v>2943</v>
      </c>
      <c r="F49" s="102" t="s">
        <v>2944</v>
      </c>
      <c r="G49" s="102" t="s">
        <v>2945</v>
      </c>
      <c r="H49" s="102" t="s">
        <v>2946</v>
      </c>
      <c r="I49" s="102" t="s">
        <v>44</v>
      </c>
      <c r="J49" s="131" t="s">
        <v>45</v>
      </c>
      <c r="K49" s="16"/>
      <c r="L49" s="29"/>
    </row>
    <row r="50" spans="1:12" ht="135">
      <c r="A50" s="101" t="s">
        <v>2939</v>
      </c>
      <c r="B50" s="102" t="s">
        <v>2940</v>
      </c>
      <c r="C50" s="102" t="s">
        <v>2947</v>
      </c>
      <c r="D50" s="102" t="s">
        <v>2948</v>
      </c>
      <c r="E50" s="102" t="s">
        <v>2949</v>
      </c>
      <c r="F50" s="102" t="s">
        <v>2950</v>
      </c>
      <c r="G50" s="102" t="s">
        <v>2951</v>
      </c>
      <c r="H50" s="102" t="s">
        <v>2952</v>
      </c>
      <c r="I50" s="102" t="s">
        <v>51</v>
      </c>
      <c r="J50" s="131" t="s">
        <v>45</v>
      </c>
      <c r="K50" s="16"/>
      <c r="L50" s="29"/>
    </row>
    <row r="51" spans="1:12" ht="90">
      <c r="A51" s="101" t="s">
        <v>2939</v>
      </c>
      <c r="B51" s="102" t="s">
        <v>2940</v>
      </c>
      <c r="C51" s="102" t="s">
        <v>2953</v>
      </c>
      <c r="D51" s="102" t="s">
        <v>2954</v>
      </c>
      <c r="E51" s="102" t="s">
        <v>2955</v>
      </c>
      <c r="F51" s="102" t="s">
        <v>2956</v>
      </c>
      <c r="G51" s="102" t="s">
        <v>2957</v>
      </c>
      <c r="H51" s="102" t="s">
        <v>2958</v>
      </c>
      <c r="I51" s="102" t="s">
        <v>51</v>
      </c>
      <c r="J51" s="131" t="s">
        <v>45</v>
      </c>
      <c r="K51" s="16"/>
      <c r="L51" s="29"/>
    </row>
    <row r="52" spans="1:12" ht="195">
      <c r="A52" s="101" t="s">
        <v>2959</v>
      </c>
      <c r="B52" s="102" t="s">
        <v>2960</v>
      </c>
      <c r="C52" s="102" t="s">
        <v>2961</v>
      </c>
      <c r="D52" s="102" t="s">
        <v>2962</v>
      </c>
      <c r="E52" s="102" t="s">
        <v>2963</v>
      </c>
      <c r="F52" s="102" t="s">
        <v>2964</v>
      </c>
      <c r="G52" s="102" t="s">
        <v>2965</v>
      </c>
      <c r="H52" s="102" t="s">
        <v>2966</v>
      </c>
      <c r="I52" s="102" t="s">
        <v>44</v>
      </c>
      <c r="J52" s="131" t="s">
        <v>45</v>
      </c>
      <c r="K52" s="16"/>
      <c r="L52" s="29"/>
    </row>
    <row r="53" spans="1:12" ht="75">
      <c r="A53" s="101" t="s">
        <v>2959</v>
      </c>
      <c r="B53" s="102" t="s">
        <v>2960</v>
      </c>
      <c r="C53" s="102" t="s">
        <v>2967</v>
      </c>
      <c r="D53" s="102" t="s">
        <v>2968</v>
      </c>
      <c r="E53" s="102" t="s">
        <v>2969</v>
      </c>
      <c r="F53" s="102" t="s">
        <v>2970</v>
      </c>
      <c r="G53" s="102" t="s">
        <v>2971</v>
      </c>
      <c r="H53" s="102" t="s">
        <v>2972</v>
      </c>
      <c r="I53" s="102" t="s">
        <v>51</v>
      </c>
      <c r="J53" s="131" t="s">
        <v>45</v>
      </c>
      <c r="K53" s="16"/>
      <c r="L53" s="29"/>
    </row>
    <row r="54" spans="1:12" ht="90">
      <c r="A54" s="101" t="s">
        <v>2973</v>
      </c>
      <c r="B54" s="102" t="s">
        <v>2664</v>
      </c>
      <c r="C54" s="102" t="s">
        <v>2974</v>
      </c>
      <c r="D54" s="102" t="s">
        <v>2975</v>
      </c>
      <c r="E54" s="102" t="s">
        <v>2905</v>
      </c>
      <c r="F54" s="102" t="s">
        <v>2976</v>
      </c>
      <c r="G54" s="102" t="s">
        <v>2977</v>
      </c>
      <c r="H54" s="102" t="s">
        <v>2978</v>
      </c>
      <c r="I54" s="102" t="s">
        <v>51</v>
      </c>
      <c r="J54" s="131" t="s">
        <v>45</v>
      </c>
      <c r="K54" s="16"/>
      <c r="L54" s="29"/>
    </row>
    <row r="55" spans="1:12" ht="60">
      <c r="A55" s="101" t="s">
        <v>2973</v>
      </c>
      <c r="B55" s="102" t="s">
        <v>2664</v>
      </c>
      <c r="C55" s="102" t="s">
        <v>2979</v>
      </c>
      <c r="D55" s="102" t="s">
        <v>2980</v>
      </c>
      <c r="E55" s="102" t="s">
        <v>2981</v>
      </c>
      <c r="F55" s="102" t="s">
        <v>2982</v>
      </c>
      <c r="G55" s="102" t="s">
        <v>2983</v>
      </c>
      <c r="H55" s="102" t="s">
        <v>2984</v>
      </c>
      <c r="I55" s="102" t="s">
        <v>51</v>
      </c>
      <c r="J55" s="131" t="s">
        <v>45</v>
      </c>
      <c r="K55" s="16"/>
      <c r="L55" s="29"/>
    </row>
    <row r="56" spans="1:12" ht="45">
      <c r="A56" s="101" t="s">
        <v>2973</v>
      </c>
      <c r="B56" s="102" t="s">
        <v>2664</v>
      </c>
      <c r="C56" s="102" t="s">
        <v>2985</v>
      </c>
      <c r="D56" s="102" t="s">
        <v>2986</v>
      </c>
      <c r="E56" s="102" t="s">
        <v>2987</v>
      </c>
      <c r="F56" s="102" t="s">
        <v>2988</v>
      </c>
      <c r="G56" s="102" t="s">
        <v>2989</v>
      </c>
      <c r="H56" s="102" t="s">
        <v>2990</v>
      </c>
      <c r="I56" s="102" t="s">
        <v>44</v>
      </c>
      <c r="J56" s="131" t="s">
        <v>45</v>
      </c>
      <c r="K56" s="16"/>
      <c r="L56" s="29"/>
    </row>
    <row r="57" spans="1:12" ht="45">
      <c r="A57" s="101" t="s">
        <v>2973</v>
      </c>
      <c r="B57" s="102" t="s">
        <v>2664</v>
      </c>
      <c r="C57" s="102" t="s">
        <v>2991</v>
      </c>
      <c r="D57" s="102" t="s">
        <v>2992</v>
      </c>
      <c r="E57" s="102" t="s">
        <v>2993</v>
      </c>
      <c r="F57" s="102" t="s">
        <v>2994</v>
      </c>
      <c r="G57" s="102" t="s">
        <v>2995</v>
      </c>
      <c r="H57" s="102" t="s">
        <v>2996</v>
      </c>
      <c r="I57" s="102" t="s">
        <v>44</v>
      </c>
      <c r="J57" s="131" t="s">
        <v>45</v>
      </c>
      <c r="K57" s="16"/>
      <c r="L57" s="29"/>
    </row>
    <row r="58" spans="1:12" ht="60">
      <c r="A58" s="101" t="s">
        <v>2997</v>
      </c>
      <c r="B58" s="102" t="s">
        <v>2998</v>
      </c>
      <c r="C58" s="102" t="s">
        <v>2999</v>
      </c>
      <c r="D58" s="102" t="s">
        <v>3000</v>
      </c>
      <c r="E58" s="102" t="s">
        <v>3001</v>
      </c>
      <c r="F58" s="102" t="s">
        <v>3002</v>
      </c>
      <c r="G58" s="102" t="s">
        <v>3003</v>
      </c>
      <c r="H58" s="102" t="s">
        <v>3004</v>
      </c>
      <c r="I58" s="102" t="s">
        <v>44</v>
      </c>
      <c r="J58" s="131" t="s">
        <v>45</v>
      </c>
      <c r="K58" s="16"/>
      <c r="L58" s="29"/>
    </row>
    <row r="59" spans="1:12" ht="60">
      <c r="A59" s="101" t="s">
        <v>2997</v>
      </c>
      <c r="B59" s="102" t="s">
        <v>2998</v>
      </c>
      <c r="C59" s="102" t="s">
        <v>3005</v>
      </c>
      <c r="D59" s="102" t="s">
        <v>3006</v>
      </c>
      <c r="E59" s="102" t="s">
        <v>3001</v>
      </c>
      <c r="F59" s="102" t="s">
        <v>3007</v>
      </c>
      <c r="G59" s="102" t="s">
        <v>3008</v>
      </c>
      <c r="H59" s="102" t="s">
        <v>3009</v>
      </c>
      <c r="I59" s="102" t="s">
        <v>44</v>
      </c>
      <c r="J59" s="131" t="s">
        <v>45</v>
      </c>
      <c r="K59" s="16"/>
      <c r="L59" s="29"/>
    </row>
    <row r="60" spans="1:12" ht="60">
      <c r="A60" s="101" t="s">
        <v>2997</v>
      </c>
      <c r="B60" s="102" t="s">
        <v>2998</v>
      </c>
      <c r="C60" s="102" t="s">
        <v>3010</v>
      </c>
      <c r="D60" s="102" t="s">
        <v>3011</v>
      </c>
      <c r="E60" s="102" t="s">
        <v>3001</v>
      </c>
      <c r="F60" s="102" t="s">
        <v>3012</v>
      </c>
      <c r="G60" s="102" t="s">
        <v>3013</v>
      </c>
      <c r="H60" s="102" t="s">
        <v>3014</v>
      </c>
      <c r="I60" s="102" t="s">
        <v>44</v>
      </c>
      <c r="J60" s="131" t="s">
        <v>45</v>
      </c>
      <c r="K60" s="16"/>
      <c r="L60" s="29"/>
    </row>
    <row r="61" spans="1:12" ht="60">
      <c r="A61" s="101" t="s">
        <v>3015</v>
      </c>
      <c r="B61" s="102" t="s">
        <v>3016</v>
      </c>
      <c r="C61" s="102" t="s">
        <v>3017</v>
      </c>
      <c r="D61" s="102" t="s">
        <v>3018</v>
      </c>
      <c r="E61" s="102" t="s">
        <v>3019</v>
      </c>
      <c r="F61" s="102" t="s">
        <v>3020</v>
      </c>
      <c r="G61" s="102" t="s">
        <v>3021</v>
      </c>
      <c r="H61" s="102" t="s">
        <v>3022</v>
      </c>
      <c r="I61" s="102" t="s">
        <v>44</v>
      </c>
      <c r="J61" s="131" t="s">
        <v>45</v>
      </c>
      <c r="K61" s="16"/>
      <c r="L61" s="29"/>
    </row>
    <row r="62" spans="1:12" ht="75">
      <c r="A62" s="101" t="s">
        <v>3015</v>
      </c>
      <c r="B62" s="102" t="s">
        <v>3016</v>
      </c>
      <c r="C62" s="102" t="s">
        <v>3023</v>
      </c>
      <c r="D62" s="102" t="s">
        <v>3024</v>
      </c>
      <c r="E62" s="102" t="s">
        <v>3025</v>
      </c>
      <c r="F62" s="102" t="s">
        <v>3026</v>
      </c>
      <c r="G62" s="102" t="s">
        <v>3027</v>
      </c>
      <c r="H62" s="102" t="s">
        <v>3028</v>
      </c>
      <c r="I62" s="102" t="s">
        <v>44</v>
      </c>
      <c r="J62" s="131" t="s">
        <v>45</v>
      </c>
      <c r="K62" s="16"/>
      <c r="L62" s="29"/>
    </row>
    <row r="63" spans="1:12" ht="75">
      <c r="A63" s="101" t="s">
        <v>3029</v>
      </c>
      <c r="B63" s="102" t="s">
        <v>3030</v>
      </c>
      <c r="C63" s="102" t="s">
        <v>3031</v>
      </c>
      <c r="D63" s="102" t="s">
        <v>3032</v>
      </c>
      <c r="E63" s="102" t="s">
        <v>3033</v>
      </c>
      <c r="F63" s="102" t="s">
        <v>3034</v>
      </c>
      <c r="G63" s="102" t="s">
        <v>3035</v>
      </c>
      <c r="H63" s="102" t="s">
        <v>3036</v>
      </c>
      <c r="I63" s="102" t="s">
        <v>1041</v>
      </c>
      <c r="J63" s="131" t="s">
        <v>45</v>
      </c>
      <c r="K63" s="16"/>
      <c r="L63" s="29"/>
    </row>
    <row r="64" spans="1:12" ht="60">
      <c r="A64" s="101" t="s">
        <v>3029</v>
      </c>
      <c r="B64" s="102" t="s">
        <v>3030</v>
      </c>
      <c r="C64" s="102" t="s">
        <v>3037</v>
      </c>
      <c r="D64" s="102" t="s">
        <v>3038</v>
      </c>
      <c r="E64" s="102" t="s">
        <v>3033</v>
      </c>
      <c r="F64" s="102" t="s">
        <v>3039</v>
      </c>
      <c r="G64" s="102" t="s">
        <v>3040</v>
      </c>
      <c r="H64" s="102" t="s">
        <v>3041</v>
      </c>
      <c r="I64" s="102" t="s">
        <v>1041</v>
      </c>
      <c r="J64" s="131" t="s">
        <v>45</v>
      </c>
      <c r="K64" s="16"/>
      <c r="L64" s="29"/>
    </row>
    <row r="65" spans="1:12" ht="75">
      <c r="A65" s="101" t="s">
        <v>3029</v>
      </c>
      <c r="B65" s="102" t="s">
        <v>3030</v>
      </c>
      <c r="C65" s="102" t="s">
        <v>3042</v>
      </c>
      <c r="D65" s="102" t="s">
        <v>3043</v>
      </c>
      <c r="E65" s="102" t="s">
        <v>3044</v>
      </c>
      <c r="F65" s="102" t="s">
        <v>3045</v>
      </c>
      <c r="G65" s="102" t="s">
        <v>3046</v>
      </c>
      <c r="H65" s="102" t="s">
        <v>3047</v>
      </c>
      <c r="I65" s="102" t="s">
        <v>1041</v>
      </c>
      <c r="J65" s="131" t="s">
        <v>45</v>
      </c>
      <c r="K65" s="16"/>
      <c r="L65" s="29"/>
    </row>
    <row r="66" spans="1:12" ht="75">
      <c r="A66" s="101" t="s">
        <v>3029</v>
      </c>
      <c r="B66" s="102" t="s">
        <v>3030</v>
      </c>
      <c r="C66" s="102" t="s">
        <v>3048</v>
      </c>
      <c r="D66" s="102" t="s">
        <v>3049</v>
      </c>
      <c r="E66" s="102" t="s">
        <v>3050</v>
      </c>
      <c r="F66" s="102" t="s">
        <v>3051</v>
      </c>
      <c r="G66" s="102" t="s">
        <v>3052</v>
      </c>
      <c r="H66" s="102" t="s">
        <v>3053</v>
      </c>
      <c r="I66" s="102" t="s">
        <v>1838</v>
      </c>
      <c r="J66" s="131" t="s">
        <v>45</v>
      </c>
      <c r="K66" s="16"/>
      <c r="L66" s="29"/>
    </row>
    <row r="67" spans="1:12" ht="60">
      <c r="A67" s="101" t="s">
        <v>3029</v>
      </c>
      <c r="B67" s="102" t="s">
        <v>3030</v>
      </c>
      <c r="C67" s="102" t="s">
        <v>3054</v>
      </c>
      <c r="D67" s="102" t="s">
        <v>3055</v>
      </c>
      <c r="E67" s="102" t="s">
        <v>3056</v>
      </c>
      <c r="F67" s="102" t="s">
        <v>3057</v>
      </c>
      <c r="G67" s="102" t="s">
        <v>3058</v>
      </c>
      <c r="H67" s="102" t="s">
        <v>3059</v>
      </c>
      <c r="I67" s="102" t="s">
        <v>1838</v>
      </c>
      <c r="J67" s="131" t="s">
        <v>45</v>
      </c>
      <c r="K67" s="16"/>
      <c r="L67" s="29"/>
    </row>
    <row r="68" spans="1:12" ht="210">
      <c r="A68" s="101" t="s">
        <v>3029</v>
      </c>
      <c r="B68" s="102" t="s">
        <v>3030</v>
      </c>
      <c r="C68" s="102" t="s">
        <v>3060</v>
      </c>
      <c r="D68" s="102" t="s">
        <v>3061</v>
      </c>
      <c r="E68" s="102" t="s">
        <v>3062</v>
      </c>
      <c r="F68" s="102" t="s">
        <v>3063</v>
      </c>
      <c r="G68" s="102" t="s">
        <v>3064</v>
      </c>
      <c r="H68" s="102" t="s">
        <v>3065</v>
      </c>
      <c r="I68" s="102" t="s">
        <v>1838</v>
      </c>
      <c r="J68" s="131" t="s">
        <v>45</v>
      </c>
      <c r="K68" s="16"/>
      <c r="L68" s="29"/>
    </row>
    <row r="69" spans="1:12" ht="105">
      <c r="A69" s="101" t="s">
        <v>3029</v>
      </c>
      <c r="B69" s="102" t="s">
        <v>3030</v>
      </c>
      <c r="C69" s="102" t="s">
        <v>3066</v>
      </c>
      <c r="D69" s="102" t="s">
        <v>3067</v>
      </c>
      <c r="E69" s="102" t="s">
        <v>3068</v>
      </c>
      <c r="F69" s="102" t="s">
        <v>3069</v>
      </c>
      <c r="G69" s="102" t="s">
        <v>3070</v>
      </c>
      <c r="H69" s="102" t="s">
        <v>3071</v>
      </c>
      <c r="I69" s="102" t="s">
        <v>1838</v>
      </c>
      <c r="J69" s="131" t="s">
        <v>45</v>
      </c>
      <c r="K69" s="16"/>
      <c r="L69" s="29"/>
    </row>
  </sheetData>
  <mergeCells count="8">
    <mergeCell ref="B7:D7"/>
    <mergeCell ref="A8:A9"/>
    <mergeCell ref="B1:D1"/>
    <mergeCell ref="B2:D2"/>
    <mergeCell ref="B3:D3"/>
    <mergeCell ref="B4:D4"/>
    <mergeCell ref="B5:D5"/>
    <mergeCell ref="B6:D6"/>
  </mergeCells>
  <hyperlinks>
    <hyperlink ref="B2" r:id="rId1" xr:uid="{64C57E9E-A263-422A-AB1B-7AD9A3978810}"/>
    <hyperlink ref="B3" r:id="rId2" xr:uid="{4C07A4B9-0F04-4F44-BD14-8BEF0EDFC822}"/>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11D30-25F4-417E-ADA0-9600A846B143}">
  <dimension ref="A1:BO98"/>
  <sheetViews>
    <sheetView workbookViewId="0">
      <selection activeCell="L10" sqref="L10"/>
    </sheetView>
  </sheetViews>
  <sheetFormatPr defaultColWidth="8.85546875" defaultRowHeight="15"/>
  <cols>
    <col min="1" max="1" width="27.42578125" customWidth="1"/>
    <col min="2" max="2" width="16.7109375" customWidth="1"/>
    <col min="3" max="3" width="21.42578125" customWidth="1"/>
    <col min="4" max="4" width="25.42578125" customWidth="1"/>
    <col min="5" max="5" width="27.140625" customWidth="1"/>
    <col min="6" max="6" width="38.42578125" customWidth="1"/>
    <col min="7" max="8" width="37" customWidth="1"/>
    <col min="9" max="11" width="20.42578125" customWidth="1"/>
  </cols>
  <sheetData>
    <row r="1" spans="1:12" ht="36">
      <c r="A1" s="1" t="s">
        <v>439</v>
      </c>
      <c r="B1" s="192" t="s">
        <v>3072</v>
      </c>
      <c r="C1" s="192"/>
      <c r="D1" s="192"/>
      <c r="H1" s="60" t="s">
        <v>2</v>
      </c>
      <c r="I1" s="14" t="s">
        <v>3</v>
      </c>
      <c r="J1" s="14" t="s">
        <v>4</v>
      </c>
      <c r="K1" s="14" t="s">
        <v>5</v>
      </c>
    </row>
    <row r="2" spans="1:12" ht="42" customHeight="1">
      <c r="A2" s="2" t="s">
        <v>441</v>
      </c>
      <c r="B2" s="173" t="s">
        <v>7</v>
      </c>
      <c r="C2" s="174"/>
      <c r="D2" s="174"/>
      <c r="H2" s="16" t="s">
        <v>8</v>
      </c>
      <c r="I2" s="59">
        <v>46084</v>
      </c>
      <c r="J2" s="58" t="s">
        <v>443</v>
      </c>
      <c r="K2" s="58" t="s">
        <v>3073</v>
      </c>
    </row>
    <row r="3" spans="1:12" ht="42" customHeight="1">
      <c r="A3" s="1" t="s">
        <v>445</v>
      </c>
      <c r="B3" s="176" t="s">
        <v>13</v>
      </c>
      <c r="C3" s="177"/>
      <c r="D3" s="177"/>
    </row>
    <row r="4" spans="1:12" ht="42" customHeight="1">
      <c r="A4" s="1" t="s">
        <v>448</v>
      </c>
      <c r="B4" s="193" t="s">
        <v>15</v>
      </c>
      <c r="C4" s="193"/>
      <c r="D4" s="193"/>
    </row>
    <row r="5" spans="1:12" ht="42" customHeight="1">
      <c r="A5" s="1" t="s">
        <v>450</v>
      </c>
      <c r="B5" s="194">
        <v>45668</v>
      </c>
      <c r="C5" s="194"/>
      <c r="D5" s="194"/>
    </row>
    <row r="6" spans="1:12" ht="42" customHeight="1">
      <c r="A6" s="1" t="s">
        <v>451</v>
      </c>
      <c r="B6" s="195" t="s">
        <v>18</v>
      </c>
      <c r="C6" s="195"/>
      <c r="D6" s="195"/>
    </row>
    <row r="7" spans="1:12" ht="42" customHeight="1">
      <c r="A7" s="1" t="s">
        <v>452</v>
      </c>
      <c r="B7" s="189" t="s">
        <v>8</v>
      </c>
      <c r="C7" s="189"/>
      <c r="D7" s="189"/>
    </row>
    <row r="8" spans="1:12" ht="36">
      <c r="A8" s="190" t="s">
        <v>453</v>
      </c>
      <c r="B8" s="3" t="s">
        <v>454</v>
      </c>
      <c r="C8" s="4" t="s">
        <v>22</v>
      </c>
      <c r="D8" s="5" t="s">
        <v>23</v>
      </c>
    </row>
    <row r="9" spans="1:12" ht="17.100000000000001">
      <c r="A9" s="191"/>
      <c r="B9" s="6">
        <f>COUNTIF(J:J,"Pass")+COUNTIF(J:J,"Test Fail") +COUNTIF(J:J,"Open") + COUNTIF(J:J,"Pending") + COUNTIF(J:J,"Fixed")</f>
        <v>37</v>
      </c>
      <c r="C9" s="6">
        <f>COUNTIF(
J:J,"Pass")</f>
        <v>37</v>
      </c>
      <c r="D9" s="6">
        <f>COUNTIF(
J:J,"Fail")</f>
        <v>0</v>
      </c>
    </row>
    <row r="10" spans="1:12" ht="72">
      <c r="A10" s="7" t="s">
        <v>455</v>
      </c>
      <c r="B10" s="8" t="s">
        <v>456</v>
      </c>
      <c r="C10" s="8" t="s">
        <v>457</v>
      </c>
      <c r="D10" s="8" t="s">
        <v>458</v>
      </c>
      <c r="E10" s="9" t="s">
        <v>459</v>
      </c>
      <c r="F10" s="10" t="s">
        <v>460</v>
      </c>
      <c r="G10" s="11" t="s">
        <v>461</v>
      </c>
      <c r="H10" s="13" t="s">
        <v>462</v>
      </c>
      <c r="I10" s="12" t="s">
        <v>32</v>
      </c>
      <c r="J10" s="12" t="s">
        <v>463</v>
      </c>
      <c r="K10" s="8" t="s">
        <v>464</v>
      </c>
      <c r="L10" s="12" t="s">
        <v>35</v>
      </c>
    </row>
    <row r="11" spans="1:12" ht="72">
      <c r="A11" s="25" t="s">
        <v>3074</v>
      </c>
      <c r="B11" s="19" t="s">
        <v>3075</v>
      </c>
      <c r="C11" s="25" t="s">
        <v>3076</v>
      </c>
      <c r="D11" s="19" t="s">
        <v>3077</v>
      </c>
      <c r="E11" s="19" t="s">
        <v>3078</v>
      </c>
      <c r="F11" s="23" t="s">
        <v>3079</v>
      </c>
      <c r="G11" s="19" t="s">
        <v>3080</v>
      </c>
      <c r="H11" s="19"/>
      <c r="I11" s="19" t="s">
        <v>108</v>
      </c>
      <c r="J11" s="160" t="s">
        <v>45</v>
      </c>
      <c r="K11" s="19"/>
      <c r="L11" s="19"/>
    </row>
    <row r="12" spans="1:12" ht="90">
      <c r="A12" s="25" t="s">
        <v>3074</v>
      </c>
      <c r="B12" s="19" t="s">
        <v>3075</v>
      </c>
      <c r="C12" s="25" t="s">
        <v>3081</v>
      </c>
      <c r="D12" s="19" t="s">
        <v>3082</v>
      </c>
      <c r="E12" s="19" t="s">
        <v>3083</v>
      </c>
      <c r="F12" s="24" t="s">
        <v>3084</v>
      </c>
      <c r="G12" s="21" t="s">
        <v>3085</v>
      </c>
      <c r="H12" s="21"/>
      <c r="I12" s="19" t="s">
        <v>108</v>
      </c>
      <c r="J12" s="160" t="s">
        <v>45</v>
      </c>
      <c r="K12" s="21"/>
      <c r="L12" s="19"/>
    </row>
    <row r="13" spans="1:12" s="20" customFormat="1" ht="72">
      <c r="A13" s="25" t="s">
        <v>3086</v>
      </c>
      <c r="B13" s="234" t="s">
        <v>3087</v>
      </c>
      <c r="C13" s="25" t="s">
        <v>3088</v>
      </c>
      <c r="D13" s="234" t="s">
        <v>3089</v>
      </c>
      <c r="E13" s="234"/>
      <c r="F13" s="235" t="s">
        <v>3090</v>
      </c>
      <c r="G13" s="234" t="s">
        <v>3091</v>
      </c>
      <c r="H13" s="234"/>
      <c r="I13" s="19" t="s">
        <v>108</v>
      </c>
      <c r="J13" s="160" t="s">
        <v>45</v>
      </c>
      <c r="K13" s="234"/>
      <c r="L13" s="19"/>
    </row>
    <row r="14" spans="1:12" s="20" customFormat="1" ht="51.75" customHeight="1">
      <c r="A14" s="25" t="s">
        <v>3086</v>
      </c>
      <c r="B14" s="234" t="s">
        <v>3087</v>
      </c>
      <c r="C14" s="25" t="s">
        <v>3092</v>
      </c>
      <c r="D14" s="234" t="s">
        <v>3093</v>
      </c>
      <c r="E14" s="234"/>
      <c r="F14" s="235" t="s">
        <v>3094</v>
      </c>
      <c r="G14" s="234" t="s">
        <v>3095</v>
      </c>
      <c r="H14" s="234"/>
      <c r="I14" s="234" t="s">
        <v>51</v>
      </c>
      <c r="J14" s="160" t="s">
        <v>45</v>
      </c>
      <c r="K14" s="234"/>
      <c r="L14" s="19"/>
    </row>
    <row r="15" spans="1:12" s="20" customFormat="1" ht="54">
      <c r="A15" s="25" t="s">
        <v>3096</v>
      </c>
      <c r="B15" s="234" t="s">
        <v>3097</v>
      </c>
      <c r="C15" s="25" t="s">
        <v>3098</v>
      </c>
      <c r="D15" s="234" t="s">
        <v>3099</v>
      </c>
      <c r="E15" s="234" t="s">
        <v>3100</v>
      </c>
      <c r="F15" s="235" t="s">
        <v>3101</v>
      </c>
      <c r="G15" s="234" t="s">
        <v>3102</v>
      </c>
      <c r="H15" s="234"/>
      <c r="I15" s="234" t="s">
        <v>51</v>
      </c>
      <c r="J15" s="160" t="s">
        <v>45</v>
      </c>
      <c r="K15" s="234"/>
      <c r="L15" s="19"/>
    </row>
    <row r="16" spans="1:12" s="20" customFormat="1" ht="36">
      <c r="A16" s="25" t="s">
        <v>3096</v>
      </c>
      <c r="B16" s="234" t="s">
        <v>3097</v>
      </c>
      <c r="C16" s="25" t="s">
        <v>3103</v>
      </c>
      <c r="D16" s="234" t="s">
        <v>3104</v>
      </c>
      <c r="E16" s="234" t="s">
        <v>3105</v>
      </c>
      <c r="F16" s="235" t="s">
        <v>3106</v>
      </c>
      <c r="G16" s="234" t="s">
        <v>3107</v>
      </c>
      <c r="H16" s="234"/>
      <c r="I16" s="234" t="s">
        <v>51</v>
      </c>
      <c r="J16" s="160" t="s">
        <v>45</v>
      </c>
      <c r="K16" s="234"/>
      <c r="L16" s="19"/>
    </row>
    <row r="17" spans="1:67" s="20" customFormat="1" ht="54">
      <c r="A17" s="160" t="s">
        <v>3108</v>
      </c>
      <c r="B17" s="234" t="s">
        <v>3109</v>
      </c>
      <c r="C17" s="25" t="s">
        <v>3110</v>
      </c>
      <c r="D17" s="234" t="s">
        <v>3111</v>
      </c>
      <c r="E17" s="234" t="s">
        <v>3112</v>
      </c>
      <c r="F17" s="235" t="s">
        <v>3113</v>
      </c>
      <c r="G17" s="234" t="s">
        <v>3114</v>
      </c>
      <c r="H17" s="234"/>
      <c r="I17" s="234" t="s">
        <v>51</v>
      </c>
      <c r="J17" s="160" t="s">
        <v>45</v>
      </c>
      <c r="K17" s="234"/>
      <c r="L17" s="19"/>
    </row>
    <row r="18" spans="1:67" s="20" customFormat="1" ht="36">
      <c r="A18" s="160" t="s">
        <v>3108</v>
      </c>
      <c r="B18" s="234" t="s">
        <v>3109</v>
      </c>
      <c r="C18" s="25" t="s">
        <v>3115</v>
      </c>
      <c r="D18" s="234" t="s">
        <v>3116</v>
      </c>
      <c r="E18" s="234" t="s">
        <v>3117</v>
      </c>
      <c r="F18" s="235" t="s">
        <v>3118</v>
      </c>
      <c r="G18" s="234" t="s">
        <v>3119</v>
      </c>
      <c r="H18" s="234"/>
      <c r="I18" s="234" t="s">
        <v>51</v>
      </c>
      <c r="J18" s="160" t="s">
        <v>45</v>
      </c>
      <c r="K18" s="234"/>
      <c r="L18" s="19"/>
    </row>
    <row r="19" spans="1:67" s="20" customFormat="1" ht="166.5" customHeight="1">
      <c r="A19" s="160" t="s">
        <v>3120</v>
      </c>
      <c r="B19" s="234" t="s">
        <v>3121</v>
      </c>
      <c r="C19" s="25" t="s">
        <v>3122</v>
      </c>
      <c r="D19" s="234" t="s">
        <v>3123</v>
      </c>
      <c r="E19" s="234"/>
      <c r="F19" s="235" t="s">
        <v>3124</v>
      </c>
      <c r="G19" s="234" t="s">
        <v>3125</v>
      </c>
      <c r="H19" s="234"/>
      <c r="I19" s="234" t="s">
        <v>44</v>
      </c>
      <c r="J19" s="160" t="s">
        <v>45</v>
      </c>
      <c r="K19" s="234"/>
      <c r="L19" s="19"/>
    </row>
    <row r="20" spans="1:67" s="20" customFormat="1" ht="119.25" customHeight="1">
      <c r="A20" s="160" t="s">
        <v>3120</v>
      </c>
      <c r="B20" s="234" t="s">
        <v>3121</v>
      </c>
      <c r="C20" s="25" t="s">
        <v>3126</v>
      </c>
      <c r="D20" s="234" t="s">
        <v>3127</v>
      </c>
      <c r="E20" s="234" t="s">
        <v>3128</v>
      </c>
      <c r="F20" s="235" t="s">
        <v>3129</v>
      </c>
      <c r="G20" s="234" t="s">
        <v>3130</v>
      </c>
      <c r="H20" s="234"/>
      <c r="I20" s="234" t="s">
        <v>51</v>
      </c>
      <c r="J20" s="160" t="s">
        <v>45</v>
      </c>
      <c r="K20" s="234"/>
      <c r="L20" s="19"/>
    </row>
    <row r="21" spans="1:67" s="20" customFormat="1" ht="81.75" customHeight="1">
      <c r="A21" s="160" t="s">
        <v>3120</v>
      </c>
      <c r="B21" s="234" t="s">
        <v>3121</v>
      </c>
      <c r="C21" s="25" t="s">
        <v>3131</v>
      </c>
      <c r="D21" s="234" t="s">
        <v>3132</v>
      </c>
      <c r="E21" s="234" t="s">
        <v>3133</v>
      </c>
      <c r="F21" s="235" t="s">
        <v>3134</v>
      </c>
      <c r="G21" s="234" t="s">
        <v>3135</v>
      </c>
      <c r="H21" s="234"/>
      <c r="I21" s="234" t="s">
        <v>51</v>
      </c>
      <c r="J21" s="160" t="s">
        <v>45</v>
      </c>
      <c r="K21" s="234"/>
      <c r="L21" s="19"/>
    </row>
    <row r="22" spans="1:67" s="20" customFormat="1" ht="99" customHeight="1">
      <c r="A22" s="160" t="s">
        <v>3120</v>
      </c>
      <c r="B22" s="234" t="s">
        <v>3121</v>
      </c>
      <c r="C22" s="25" t="s">
        <v>3136</v>
      </c>
      <c r="D22" s="234" t="s">
        <v>3137</v>
      </c>
      <c r="E22" s="234"/>
      <c r="F22" s="235" t="s">
        <v>3138</v>
      </c>
      <c r="G22" s="234" t="s">
        <v>3139</v>
      </c>
      <c r="H22" s="234"/>
      <c r="I22" s="234" t="s">
        <v>178</v>
      </c>
      <c r="J22" s="160" t="s">
        <v>45</v>
      </c>
      <c r="K22" s="234"/>
      <c r="L22" s="19"/>
    </row>
    <row r="23" spans="1:67" s="20" customFormat="1" ht="104.25" customHeight="1">
      <c r="A23" s="160" t="s">
        <v>3140</v>
      </c>
      <c r="B23" s="234" t="s">
        <v>3141</v>
      </c>
      <c r="C23" s="25" t="s">
        <v>3142</v>
      </c>
      <c r="D23" s="234" t="s">
        <v>3143</v>
      </c>
      <c r="E23" s="234"/>
      <c r="F23" s="235" t="s">
        <v>3144</v>
      </c>
      <c r="G23" s="234" t="s">
        <v>3145</v>
      </c>
      <c r="H23" s="234"/>
      <c r="I23" s="234" t="s">
        <v>51</v>
      </c>
      <c r="J23" s="160" t="s">
        <v>45</v>
      </c>
      <c r="K23" s="234"/>
      <c r="L23" s="19"/>
    </row>
    <row r="24" spans="1:67" s="20" customFormat="1" ht="104.25" customHeight="1">
      <c r="A24" s="160" t="s">
        <v>3140</v>
      </c>
      <c r="B24" s="234" t="s">
        <v>3141</v>
      </c>
      <c r="C24" s="25" t="s">
        <v>3146</v>
      </c>
      <c r="D24" s="234" t="s">
        <v>3147</v>
      </c>
      <c r="E24" s="234" t="s">
        <v>3148</v>
      </c>
      <c r="F24" s="235" t="s">
        <v>3149</v>
      </c>
      <c r="G24" s="234" t="s">
        <v>3150</v>
      </c>
      <c r="H24" s="234"/>
      <c r="I24" s="234" t="s">
        <v>51</v>
      </c>
      <c r="J24" s="160" t="s">
        <v>45</v>
      </c>
      <c r="K24" s="234"/>
      <c r="L24" s="19"/>
    </row>
    <row r="25" spans="1:67" s="20" customFormat="1" ht="135" customHeight="1">
      <c r="A25" s="160" t="s">
        <v>3140</v>
      </c>
      <c r="B25" s="234" t="s">
        <v>3141</v>
      </c>
      <c r="C25" s="25" t="s">
        <v>3151</v>
      </c>
      <c r="D25" s="234" t="s">
        <v>3152</v>
      </c>
      <c r="E25" s="234" t="s">
        <v>3153</v>
      </c>
      <c r="F25" s="235" t="s">
        <v>3149</v>
      </c>
      <c r="G25" s="234" t="s">
        <v>3154</v>
      </c>
      <c r="H25" s="234"/>
      <c r="I25" s="234" t="s">
        <v>51</v>
      </c>
      <c r="J25" s="160" t="s">
        <v>45</v>
      </c>
      <c r="K25" s="32" t="s">
        <v>3155</v>
      </c>
      <c r="L25" s="19"/>
    </row>
    <row r="26" spans="1:67" s="20" customFormat="1" ht="104.25" customHeight="1">
      <c r="A26" s="160" t="s">
        <v>3140</v>
      </c>
      <c r="B26" s="234" t="s">
        <v>3141</v>
      </c>
      <c r="C26" s="25" t="s">
        <v>3156</v>
      </c>
      <c r="D26" s="234" t="s">
        <v>3157</v>
      </c>
      <c r="E26" s="234" t="s">
        <v>3158</v>
      </c>
      <c r="F26" s="235" t="s">
        <v>3159</v>
      </c>
      <c r="G26" s="234" t="s">
        <v>3160</v>
      </c>
      <c r="H26" s="234"/>
      <c r="I26" s="234" t="s">
        <v>51</v>
      </c>
      <c r="J26" s="160" t="s">
        <v>45</v>
      </c>
      <c r="K26" s="234"/>
      <c r="L26" s="19"/>
    </row>
    <row r="27" spans="1:67" s="20" customFormat="1" ht="126" customHeight="1">
      <c r="A27" s="161" t="s">
        <v>3140</v>
      </c>
      <c r="B27" s="236" t="s">
        <v>3141</v>
      </c>
      <c r="C27" s="26" t="s">
        <v>3161</v>
      </c>
      <c r="D27" s="236" t="s">
        <v>3162</v>
      </c>
      <c r="E27" s="236" t="s">
        <v>3158</v>
      </c>
      <c r="F27" s="237" t="s">
        <v>3163</v>
      </c>
      <c r="G27" s="236" t="s">
        <v>3164</v>
      </c>
      <c r="H27" s="236"/>
      <c r="I27" s="234" t="s">
        <v>51</v>
      </c>
      <c r="J27" s="160" t="s">
        <v>45</v>
      </c>
      <c r="K27" s="236"/>
      <c r="L27" s="19"/>
    </row>
    <row r="28" spans="1:67" s="15" customFormat="1" ht="138" customHeight="1">
      <c r="A28" s="242" t="s">
        <v>3165</v>
      </c>
      <c r="B28" s="234" t="s">
        <v>3166</v>
      </c>
      <c r="C28" s="25" t="s">
        <v>3167</v>
      </c>
      <c r="D28" s="234" t="s">
        <v>3168</v>
      </c>
      <c r="E28" s="234"/>
      <c r="F28" s="22" t="s">
        <v>3169</v>
      </c>
      <c r="G28" s="234" t="s">
        <v>3170</v>
      </c>
      <c r="H28" s="234"/>
      <c r="I28" s="234" t="s">
        <v>44</v>
      </c>
      <c r="J28" s="160" t="s">
        <v>45</v>
      </c>
      <c r="K28" s="234"/>
      <c r="L28" s="19"/>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row>
    <row r="29" spans="1:67" s="20" customFormat="1" ht="137.25" customHeight="1">
      <c r="A29" s="243" t="s">
        <v>3165</v>
      </c>
      <c r="B29" s="244" t="s">
        <v>3166</v>
      </c>
      <c r="C29" s="27" t="s">
        <v>3171</v>
      </c>
      <c r="D29" s="244" t="s">
        <v>3172</v>
      </c>
      <c r="E29" s="244" t="s">
        <v>3173</v>
      </c>
      <c r="F29" s="245" t="s">
        <v>3174</v>
      </c>
      <c r="G29" s="245" t="s">
        <v>3175</v>
      </c>
      <c r="H29" s="244"/>
      <c r="I29" s="234" t="s">
        <v>51</v>
      </c>
      <c r="J29" s="160" t="s">
        <v>45</v>
      </c>
      <c r="K29" s="244"/>
      <c r="L29" s="19"/>
    </row>
    <row r="30" spans="1:67" s="20" customFormat="1" ht="137.25" customHeight="1">
      <c r="A30" s="243" t="s">
        <v>3165</v>
      </c>
      <c r="B30" s="244" t="s">
        <v>3166</v>
      </c>
      <c r="C30" s="27" t="s">
        <v>3176</v>
      </c>
      <c r="D30" s="244" t="s">
        <v>3177</v>
      </c>
      <c r="E30" s="244" t="s">
        <v>3173</v>
      </c>
      <c r="F30" s="245" t="s">
        <v>3174</v>
      </c>
      <c r="G30" s="245" t="s">
        <v>3178</v>
      </c>
      <c r="H30" s="244"/>
      <c r="I30" s="234" t="s">
        <v>51</v>
      </c>
      <c r="J30" s="160" t="s">
        <v>45</v>
      </c>
      <c r="K30" s="244"/>
      <c r="L30" s="19"/>
    </row>
    <row r="31" spans="1:67" s="20" customFormat="1" ht="137.25" customHeight="1">
      <c r="A31" s="243" t="s">
        <v>3165</v>
      </c>
      <c r="B31" s="244" t="s">
        <v>3166</v>
      </c>
      <c r="C31" s="27" t="s">
        <v>3179</v>
      </c>
      <c r="D31" s="244" t="s">
        <v>3180</v>
      </c>
      <c r="E31" s="244" t="s">
        <v>3181</v>
      </c>
      <c r="F31" s="245" t="s">
        <v>3182</v>
      </c>
      <c r="G31" s="245" t="s">
        <v>3183</v>
      </c>
      <c r="H31" s="244"/>
      <c r="I31" s="234" t="s">
        <v>51</v>
      </c>
      <c r="J31" s="160" t="s">
        <v>45</v>
      </c>
      <c r="K31" s="244"/>
      <c r="L31" s="19"/>
    </row>
    <row r="32" spans="1:67" s="20" customFormat="1" ht="137.25" customHeight="1">
      <c r="A32" s="243" t="s">
        <v>3165</v>
      </c>
      <c r="B32" s="244" t="s">
        <v>3166</v>
      </c>
      <c r="C32" s="27" t="s">
        <v>3184</v>
      </c>
      <c r="D32" s="244" t="s">
        <v>3185</v>
      </c>
      <c r="E32" s="244" t="s">
        <v>3186</v>
      </c>
      <c r="F32" s="245" t="s">
        <v>3187</v>
      </c>
      <c r="G32" s="245" t="s">
        <v>3188</v>
      </c>
      <c r="H32" s="244"/>
      <c r="I32" s="234" t="s">
        <v>51</v>
      </c>
      <c r="J32" s="160" t="s">
        <v>45</v>
      </c>
      <c r="K32" s="36" t="s">
        <v>3189</v>
      </c>
      <c r="L32" s="19"/>
    </row>
    <row r="33" spans="1:12" s="20" customFormat="1" ht="137.25" customHeight="1">
      <c r="A33" s="243" t="s">
        <v>3165</v>
      </c>
      <c r="B33" s="244" t="s">
        <v>3166</v>
      </c>
      <c r="C33" s="27" t="s">
        <v>3190</v>
      </c>
      <c r="D33" s="244" t="s">
        <v>3191</v>
      </c>
      <c r="E33" s="244" t="s">
        <v>3186</v>
      </c>
      <c r="F33" s="245" t="s">
        <v>3192</v>
      </c>
      <c r="G33" s="245" t="s">
        <v>3193</v>
      </c>
      <c r="H33" s="244"/>
      <c r="I33" s="234" t="s">
        <v>51</v>
      </c>
      <c r="J33" s="160" t="s">
        <v>45</v>
      </c>
      <c r="K33" s="244"/>
      <c r="L33" s="19"/>
    </row>
    <row r="34" spans="1:12" s="20" customFormat="1" ht="137.25" customHeight="1">
      <c r="A34" s="243" t="s">
        <v>3165</v>
      </c>
      <c r="B34" s="244" t="s">
        <v>3166</v>
      </c>
      <c r="C34" s="27" t="s">
        <v>3194</v>
      </c>
      <c r="D34" s="244" t="s">
        <v>3195</v>
      </c>
      <c r="E34" s="244" t="s">
        <v>3196</v>
      </c>
      <c r="F34" s="245" t="s">
        <v>3197</v>
      </c>
      <c r="G34" s="245" t="s">
        <v>3198</v>
      </c>
      <c r="H34" s="244"/>
      <c r="I34" s="29" t="s">
        <v>108</v>
      </c>
      <c r="J34" s="160" t="s">
        <v>45</v>
      </c>
      <c r="K34" s="244"/>
      <c r="L34" s="19"/>
    </row>
    <row r="35" spans="1:12" s="20" customFormat="1" ht="137.25" customHeight="1">
      <c r="A35" s="243" t="s">
        <v>3165</v>
      </c>
      <c r="B35" s="244" t="s">
        <v>3166</v>
      </c>
      <c r="C35" s="27" t="s">
        <v>3199</v>
      </c>
      <c r="D35" s="244" t="s">
        <v>3200</v>
      </c>
      <c r="E35" s="244" t="s">
        <v>3201</v>
      </c>
      <c r="F35" s="245" t="s">
        <v>3202</v>
      </c>
      <c r="G35" s="245" t="s">
        <v>3203</v>
      </c>
      <c r="H35" s="244"/>
      <c r="I35" s="234" t="s">
        <v>290</v>
      </c>
      <c r="J35" s="160" t="s">
        <v>45</v>
      </c>
      <c r="K35" s="244"/>
      <c r="L35" s="19"/>
    </row>
    <row r="36" spans="1:12" s="20" customFormat="1" ht="137.25" customHeight="1">
      <c r="A36" s="243" t="s">
        <v>3165</v>
      </c>
      <c r="B36" s="244" t="s">
        <v>3166</v>
      </c>
      <c r="C36" s="27" t="s">
        <v>3184</v>
      </c>
      <c r="D36" s="244" t="s">
        <v>3204</v>
      </c>
      <c r="E36" s="244" t="s">
        <v>3205</v>
      </c>
      <c r="F36" s="245" t="s">
        <v>3174</v>
      </c>
      <c r="G36" s="245" t="s">
        <v>3206</v>
      </c>
      <c r="H36" s="244"/>
      <c r="I36" s="234" t="s">
        <v>51</v>
      </c>
      <c r="J36" s="160" t="s">
        <v>45</v>
      </c>
      <c r="K36" s="244"/>
      <c r="L36" s="19"/>
    </row>
    <row r="37" spans="1:12" s="20" customFormat="1" ht="104.25" customHeight="1">
      <c r="A37" s="242" t="s">
        <v>3165</v>
      </c>
      <c r="B37" s="234" t="s">
        <v>3166</v>
      </c>
      <c r="C37" s="27" t="s">
        <v>3190</v>
      </c>
      <c r="D37" s="234" t="s">
        <v>3207</v>
      </c>
      <c r="E37" s="234" t="s">
        <v>3208</v>
      </c>
      <c r="F37" s="245" t="s">
        <v>3209</v>
      </c>
      <c r="G37" s="234" t="s">
        <v>3210</v>
      </c>
      <c r="H37" s="234"/>
      <c r="I37" s="234" t="s">
        <v>51</v>
      </c>
      <c r="J37" s="160" t="s">
        <v>45</v>
      </c>
      <c r="K37" s="234"/>
      <c r="L37" s="19"/>
    </row>
    <row r="38" spans="1:12" s="20" customFormat="1" ht="104.25" customHeight="1">
      <c r="A38" s="242" t="s">
        <v>3165</v>
      </c>
      <c r="B38" s="234" t="s">
        <v>3166</v>
      </c>
      <c r="C38" s="27" t="s">
        <v>3194</v>
      </c>
      <c r="D38" s="234" t="s">
        <v>3211</v>
      </c>
      <c r="E38" s="234" t="s">
        <v>3212</v>
      </c>
      <c r="F38" s="235" t="s">
        <v>3213</v>
      </c>
      <c r="G38" s="234" t="s">
        <v>3214</v>
      </c>
      <c r="H38" s="234"/>
      <c r="I38" s="234" t="s">
        <v>56</v>
      </c>
      <c r="J38" s="160" t="s">
        <v>45</v>
      </c>
      <c r="K38" s="234"/>
      <c r="L38" s="19"/>
    </row>
    <row r="39" spans="1:12" s="20" customFormat="1" ht="124.5" customHeight="1">
      <c r="A39" s="242" t="s">
        <v>3165</v>
      </c>
      <c r="B39" s="234" t="s">
        <v>3166</v>
      </c>
      <c r="C39" s="27" t="s">
        <v>3199</v>
      </c>
      <c r="D39" s="234" t="s">
        <v>3215</v>
      </c>
      <c r="E39" s="22" t="s">
        <v>3173</v>
      </c>
      <c r="F39" s="235" t="s">
        <v>3216</v>
      </c>
      <c r="G39" s="234" t="s">
        <v>3217</v>
      </c>
      <c r="H39" s="234"/>
      <c r="I39" s="234" t="s">
        <v>3218</v>
      </c>
      <c r="J39" s="160" t="s">
        <v>45</v>
      </c>
      <c r="K39" s="32" t="s">
        <v>3219</v>
      </c>
      <c r="L39" s="19"/>
    </row>
    <row r="40" spans="1:12" s="20" customFormat="1" ht="124.5" customHeight="1">
      <c r="A40" s="242" t="s">
        <v>3220</v>
      </c>
      <c r="B40" s="234" t="s">
        <v>3221</v>
      </c>
      <c r="C40" s="25" t="s">
        <v>3222</v>
      </c>
      <c r="D40" s="234" t="s">
        <v>3223</v>
      </c>
      <c r="E40" s="234"/>
      <c r="F40" s="235" t="s">
        <v>3224</v>
      </c>
      <c r="G40" s="234" t="s">
        <v>3225</v>
      </c>
      <c r="H40" s="234"/>
      <c r="I40" s="234" t="s">
        <v>44</v>
      </c>
      <c r="J40" s="160" t="s">
        <v>45</v>
      </c>
      <c r="K40" s="234"/>
      <c r="L40" s="19"/>
    </row>
    <row r="41" spans="1:12" s="20" customFormat="1" ht="104.25" customHeight="1">
      <c r="A41" s="242" t="s">
        <v>3220</v>
      </c>
      <c r="B41" s="234" t="s">
        <v>3221</v>
      </c>
      <c r="C41" s="25" t="s">
        <v>3226</v>
      </c>
      <c r="D41" s="234" t="s">
        <v>1181</v>
      </c>
      <c r="E41" s="234" t="s">
        <v>1182</v>
      </c>
      <c r="F41" s="235" t="s">
        <v>3227</v>
      </c>
      <c r="G41" s="234" t="s">
        <v>1183</v>
      </c>
      <c r="H41" s="234"/>
      <c r="I41" s="234" t="s">
        <v>3228</v>
      </c>
      <c r="J41" s="160" t="s">
        <v>45</v>
      </c>
      <c r="K41" s="234"/>
      <c r="L41" s="19"/>
    </row>
    <row r="42" spans="1:12" s="20" customFormat="1" ht="207.75" customHeight="1">
      <c r="A42" s="242" t="s">
        <v>3220</v>
      </c>
      <c r="B42" s="234" t="s">
        <v>3221</v>
      </c>
      <c r="C42" s="25" t="s">
        <v>3229</v>
      </c>
      <c r="D42" s="234" t="s">
        <v>3230</v>
      </c>
      <c r="E42" s="234" t="s">
        <v>3208</v>
      </c>
      <c r="F42" s="235" t="s">
        <v>3231</v>
      </c>
      <c r="G42" s="234" t="s">
        <v>3232</v>
      </c>
      <c r="H42" s="234"/>
      <c r="I42" s="234" t="s">
        <v>51</v>
      </c>
      <c r="J42" s="160" t="s">
        <v>45</v>
      </c>
      <c r="K42" s="234"/>
      <c r="L42" s="19"/>
    </row>
    <row r="43" spans="1:12" s="20" customFormat="1" ht="207.75" customHeight="1">
      <c r="A43" s="242" t="s">
        <v>3220</v>
      </c>
      <c r="B43" s="234" t="s">
        <v>3221</v>
      </c>
      <c r="C43" s="25" t="s">
        <v>3233</v>
      </c>
      <c r="D43" s="234" t="s">
        <v>3234</v>
      </c>
      <c r="E43" s="234" t="s">
        <v>3235</v>
      </c>
      <c r="F43" s="235" t="s">
        <v>3236</v>
      </c>
      <c r="G43" s="234" t="s">
        <v>3237</v>
      </c>
      <c r="H43" s="234"/>
      <c r="I43" s="234" t="s">
        <v>51</v>
      </c>
      <c r="J43" s="160" t="s">
        <v>45</v>
      </c>
      <c r="K43" s="32" t="s">
        <v>3238</v>
      </c>
      <c r="L43" s="19"/>
    </row>
    <row r="44" spans="1:12" s="20" customFormat="1" ht="240.75" customHeight="1">
      <c r="A44" s="242" t="s">
        <v>3220</v>
      </c>
      <c r="B44" s="234" t="s">
        <v>3221</v>
      </c>
      <c r="C44" s="25" t="s">
        <v>3239</v>
      </c>
      <c r="D44" s="234" t="s">
        <v>3240</v>
      </c>
      <c r="E44" s="234" t="s">
        <v>3241</v>
      </c>
      <c r="F44" s="235" t="s">
        <v>3242</v>
      </c>
      <c r="G44" s="234" t="s">
        <v>3243</v>
      </c>
      <c r="H44" s="234"/>
      <c r="I44" s="234" t="s">
        <v>51</v>
      </c>
      <c r="J44" s="160" t="s">
        <v>45</v>
      </c>
      <c r="K44" s="234"/>
      <c r="L44" s="19"/>
    </row>
    <row r="45" spans="1:12" s="20" customFormat="1" ht="104.25" customHeight="1">
      <c r="A45" s="242" t="s">
        <v>3220</v>
      </c>
      <c r="B45" s="234" t="s">
        <v>3221</v>
      </c>
      <c r="C45" s="25" t="s">
        <v>3244</v>
      </c>
      <c r="D45" s="234" t="s">
        <v>3245</v>
      </c>
      <c r="E45" s="234" t="s">
        <v>3246</v>
      </c>
      <c r="F45" s="235" t="s">
        <v>3247</v>
      </c>
      <c r="G45" s="234" t="s">
        <v>3248</v>
      </c>
      <c r="H45" s="234"/>
      <c r="I45" s="234" t="s">
        <v>51</v>
      </c>
      <c r="J45" s="160" t="s">
        <v>45</v>
      </c>
      <c r="K45" s="234"/>
      <c r="L45" s="29"/>
    </row>
    <row r="46" spans="1:12" s="20" customFormat="1" ht="104.25" customHeight="1">
      <c r="A46" s="242" t="s">
        <v>3220</v>
      </c>
      <c r="B46" s="234" t="s">
        <v>3221</v>
      </c>
      <c r="C46" s="25" t="s">
        <v>3249</v>
      </c>
      <c r="D46" s="234" t="s">
        <v>3250</v>
      </c>
      <c r="E46" s="234" t="s">
        <v>3251</v>
      </c>
      <c r="F46" s="235" t="s">
        <v>3252</v>
      </c>
      <c r="G46" s="234" t="s">
        <v>3253</v>
      </c>
      <c r="H46" s="234"/>
      <c r="I46" s="234" t="s">
        <v>51</v>
      </c>
      <c r="J46" s="160" t="s">
        <v>45</v>
      </c>
      <c r="K46" s="234"/>
      <c r="L46" s="29"/>
    </row>
    <row r="47" spans="1:12" s="20" customFormat="1" ht="104.25" customHeight="1">
      <c r="A47" s="242" t="s">
        <v>3220</v>
      </c>
      <c r="B47" s="234" t="s">
        <v>3221</v>
      </c>
      <c r="C47" s="25" t="s">
        <v>3254</v>
      </c>
      <c r="D47" s="234" t="s">
        <v>3255</v>
      </c>
      <c r="E47" s="234" t="s">
        <v>3256</v>
      </c>
      <c r="F47" s="235" t="s">
        <v>3257</v>
      </c>
      <c r="G47" s="234" t="s">
        <v>3258</v>
      </c>
      <c r="H47" s="234"/>
      <c r="I47" s="234" t="s">
        <v>51</v>
      </c>
      <c r="J47" s="160" t="s">
        <v>45</v>
      </c>
      <c r="K47" s="234"/>
      <c r="L47" s="29"/>
    </row>
    <row r="48" spans="1:12" s="20" customFormat="1" ht="35.25" customHeight="1">
      <c r="L48" s="29"/>
    </row>
    <row r="49" spans="1:12" s="20" customFormat="1" ht="17.100000000000001">
      <c r="L49" s="29"/>
    </row>
    <row r="50" spans="1:12" s="20" customFormat="1" ht="17.100000000000001">
      <c r="L50" s="29"/>
    </row>
    <row r="51" spans="1:12" s="20" customFormat="1" ht="17.100000000000001">
      <c r="L51" s="29"/>
    </row>
    <row r="52" spans="1:12" s="20" customFormat="1" ht="17.100000000000001">
      <c r="L52" s="29"/>
    </row>
    <row r="53" spans="1:12" s="20" customFormat="1" ht="17.100000000000001">
      <c r="L53" s="29"/>
    </row>
    <row r="54" spans="1:12" s="20" customFormat="1" ht="17.100000000000001">
      <c r="L54" s="29"/>
    </row>
    <row r="55" spans="1:12" s="20" customFormat="1" ht="18" customHeight="1">
      <c r="L55" s="29"/>
    </row>
    <row r="56" spans="1:12" s="20" customFormat="1"/>
    <row r="57" spans="1:12" s="20" customFormat="1"/>
    <row r="58" spans="1:12" s="20" customFormat="1"/>
    <row r="59" spans="1:12" s="20" customFormat="1"/>
    <row r="60" spans="1:12" s="20" customFormat="1"/>
    <row r="61" spans="1:12" s="20" customFormat="1"/>
    <row r="62" spans="1:12">
      <c r="A62" s="20"/>
      <c r="B62" s="20"/>
      <c r="C62" s="20"/>
      <c r="D62" s="20"/>
      <c r="E62" s="20"/>
      <c r="F62" s="20"/>
      <c r="G62" s="20"/>
      <c r="H62" s="20"/>
      <c r="I62" s="20"/>
      <c r="J62" s="20"/>
      <c r="K62" s="20"/>
      <c r="L62" s="20"/>
    </row>
    <row r="63" spans="1:12">
      <c r="A63" s="20"/>
      <c r="B63" s="20"/>
      <c r="C63" s="20"/>
      <c r="D63" s="20"/>
      <c r="E63" s="20"/>
      <c r="F63" s="20"/>
      <c r="G63" s="20"/>
      <c r="H63" s="20"/>
      <c r="I63" s="20"/>
      <c r="J63" s="20"/>
      <c r="K63" s="20"/>
      <c r="L63" s="20"/>
    </row>
    <row r="64" spans="1:12">
      <c r="A64" s="20"/>
      <c r="B64" s="20"/>
      <c r="C64" s="20"/>
      <c r="D64" s="20"/>
      <c r="E64" s="20"/>
      <c r="F64" s="20"/>
      <c r="G64" s="20"/>
      <c r="H64" s="20"/>
      <c r="I64" s="20"/>
      <c r="J64" s="20"/>
      <c r="K64" s="20"/>
      <c r="L64" s="20"/>
    </row>
    <row r="65" spans="1:12">
      <c r="A65" s="20"/>
      <c r="B65" s="20"/>
      <c r="C65" s="20"/>
      <c r="D65" s="20"/>
      <c r="E65" s="20"/>
      <c r="F65" s="20"/>
      <c r="G65" s="20"/>
      <c r="H65" s="20"/>
      <c r="I65" s="20"/>
      <c r="J65" s="20"/>
      <c r="K65" s="20"/>
      <c r="L65" s="20"/>
    </row>
    <row r="66" spans="1:12">
      <c r="A66" s="20"/>
      <c r="B66" s="20"/>
      <c r="C66" s="20"/>
      <c r="D66" s="20"/>
      <c r="E66" s="20"/>
      <c r="F66" s="20"/>
      <c r="G66" s="20"/>
      <c r="H66" s="20"/>
      <c r="I66" s="20"/>
      <c r="J66" s="20"/>
      <c r="K66" s="20"/>
      <c r="L66" s="20"/>
    </row>
    <row r="67" spans="1:12">
      <c r="A67" s="20"/>
      <c r="B67" s="20"/>
      <c r="C67" s="20"/>
      <c r="D67" s="20"/>
      <c r="E67" s="20"/>
      <c r="F67" s="20"/>
      <c r="G67" s="20"/>
      <c r="H67" s="20"/>
      <c r="I67" s="20"/>
      <c r="J67" s="20"/>
      <c r="K67" s="20"/>
      <c r="L67" s="20"/>
    </row>
    <row r="68" spans="1:12">
      <c r="A68" s="20"/>
      <c r="B68" s="20"/>
      <c r="C68" s="20"/>
      <c r="D68" s="20"/>
      <c r="E68" s="20"/>
      <c r="F68" s="20"/>
      <c r="G68" s="20"/>
      <c r="H68" s="20"/>
      <c r="I68" s="20"/>
      <c r="J68" s="20"/>
      <c r="K68" s="20"/>
      <c r="L68" s="20"/>
    </row>
    <row r="69" spans="1:12">
      <c r="A69" s="20"/>
      <c r="B69" s="20"/>
      <c r="C69" s="20"/>
      <c r="D69" s="20"/>
      <c r="E69" s="20"/>
      <c r="F69" s="20"/>
      <c r="G69" s="20"/>
      <c r="H69" s="20"/>
      <c r="I69" s="20"/>
      <c r="J69" s="20"/>
      <c r="K69" s="20"/>
      <c r="L69" s="20"/>
    </row>
    <row r="70" spans="1:12">
      <c r="A70" s="20"/>
      <c r="B70" s="20"/>
      <c r="C70" s="20"/>
      <c r="D70" s="20"/>
      <c r="E70" s="20"/>
      <c r="F70" s="20"/>
      <c r="G70" s="20"/>
      <c r="H70" s="20"/>
      <c r="I70" s="20"/>
      <c r="J70" s="20"/>
      <c r="K70" s="20"/>
      <c r="L70" s="20"/>
    </row>
    <row r="71" spans="1:12">
      <c r="A71" s="20"/>
      <c r="B71" s="20"/>
      <c r="C71" s="20"/>
      <c r="D71" s="20"/>
      <c r="E71" s="20"/>
      <c r="F71" s="20"/>
      <c r="G71" s="20"/>
      <c r="H71" s="20"/>
      <c r="I71" s="20"/>
      <c r="J71" s="20"/>
      <c r="K71" s="20"/>
      <c r="L71" s="20"/>
    </row>
    <row r="72" spans="1:12">
      <c r="A72" s="20"/>
      <c r="B72" s="20"/>
      <c r="C72" s="20"/>
      <c r="D72" s="20"/>
      <c r="E72" s="20"/>
      <c r="F72" s="20"/>
      <c r="G72" s="20"/>
      <c r="H72" s="20"/>
      <c r="I72" s="20"/>
      <c r="J72" s="20"/>
      <c r="K72" s="20"/>
      <c r="L72" s="20"/>
    </row>
    <row r="73" spans="1:12">
      <c r="A73" s="20"/>
      <c r="B73" s="20"/>
      <c r="C73" s="20"/>
      <c r="D73" s="20"/>
      <c r="E73" s="20"/>
      <c r="F73" s="20"/>
      <c r="G73" s="20"/>
      <c r="H73" s="20"/>
      <c r="I73" s="20"/>
      <c r="J73" s="20"/>
      <c r="K73" s="20"/>
      <c r="L73" s="20"/>
    </row>
    <row r="74" spans="1:12">
      <c r="A74" s="20"/>
      <c r="B74" s="20"/>
      <c r="C74" s="20"/>
      <c r="D74" s="20"/>
      <c r="E74" s="20"/>
      <c r="F74" s="20"/>
      <c r="G74" s="20"/>
      <c r="H74" s="20"/>
      <c r="I74" s="20"/>
      <c r="J74" s="20"/>
      <c r="K74" s="20"/>
      <c r="L74" s="20"/>
    </row>
    <row r="75" spans="1:12">
      <c r="A75" s="20"/>
      <c r="B75" s="20"/>
      <c r="C75" s="20"/>
      <c r="D75" s="20"/>
      <c r="E75" s="20"/>
      <c r="F75" s="20"/>
      <c r="G75" s="20"/>
      <c r="H75" s="20"/>
      <c r="I75" s="20"/>
      <c r="J75" s="20"/>
      <c r="K75" s="20"/>
      <c r="L75" s="20"/>
    </row>
    <row r="76" spans="1:12">
      <c r="A76" s="20"/>
      <c r="B76" s="20"/>
      <c r="C76" s="20"/>
      <c r="D76" s="20"/>
      <c r="E76" s="20"/>
      <c r="F76" s="20"/>
      <c r="G76" s="20"/>
      <c r="H76" s="20"/>
      <c r="I76" s="20"/>
      <c r="J76" s="20"/>
      <c r="K76" s="20"/>
      <c r="L76" s="20"/>
    </row>
    <row r="77" spans="1:12">
      <c r="A77" s="20"/>
      <c r="B77" s="20"/>
      <c r="C77" s="20"/>
      <c r="D77" s="20"/>
      <c r="E77" s="20"/>
      <c r="F77" s="20"/>
      <c r="G77" s="20"/>
      <c r="H77" s="20"/>
      <c r="I77" s="20"/>
      <c r="J77" s="20"/>
      <c r="K77" s="20"/>
      <c r="L77" s="20"/>
    </row>
    <row r="78" spans="1:12">
      <c r="A78" s="20"/>
      <c r="B78" s="20"/>
      <c r="C78" s="20"/>
      <c r="D78" s="20"/>
      <c r="E78" s="20"/>
      <c r="F78" s="20"/>
      <c r="G78" s="20"/>
      <c r="H78" s="20"/>
      <c r="I78" s="20"/>
      <c r="J78" s="20"/>
      <c r="K78" s="20"/>
      <c r="L78" s="20"/>
    </row>
    <row r="79" spans="1:12">
      <c r="A79" s="20"/>
      <c r="B79" s="20"/>
      <c r="C79" s="20"/>
      <c r="D79" s="20"/>
      <c r="E79" s="20"/>
      <c r="F79" s="20"/>
      <c r="G79" s="20"/>
      <c r="H79" s="20"/>
      <c r="I79" s="20"/>
      <c r="J79" s="20"/>
      <c r="K79" s="20"/>
      <c r="L79" s="20"/>
    </row>
    <row r="80" spans="1:12">
      <c r="A80" s="20"/>
      <c r="B80" s="20"/>
      <c r="C80" s="20"/>
      <c r="D80" s="20"/>
      <c r="E80" s="20"/>
      <c r="F80" s="20"/>
      <c r="G80" s="20"/>
      <c r="H80" s="20"/>
      <c r="I80" s="20"/>
      <c r="J80" s="20"/>
      <c r="K80" s="20"/>
      <c r="L80" s="20"/>
    </row>
    <row r="81" spans="1:12">
      <c r="A81" s="20"/>
      <c r="B81" s="20"/>
      <c r="C81" s="20"/>
      <c r="D81" s="20"/>
      <c r="E81" s="20"/>
      <c r="F81" s="20"/>
      <c r="G81" s="20"/>
      <c r="H81" s="20"/>
      <c r="I81" s="20"/>
      <c r="J81" s="20"/>
      <c r="K81" s="20"/>
      <c r="L81" s="20"/>
    </row>
    <row r="82" spans="1:12">
      <c r="A82" s="20"/>
      <c r="B82" s="20"/>
      <c r="C82" s="20"/>
      <c r="D82" s="20"/>
      <c r="E82" s="20"/>
      <c r="F82" s="20"/>
      <c r="G82" s="20"/>
      <c r="H82" s="20"/>
      <c r="I82" s="20"/>
      <c r="J82" s="20"/>
      <c r="K82" s="20"/>
      <c r="L82" s="20"/>
    </row>
    <row r="83" spans="1:12">
      <c r="A83" s="20"/>
      <c r="B83" s="20"/>
      <c r="C83" s="20"/>
      <c r="D83" s="20"/>
      <c r="E83" s="20"/>
      <c r="F83" s="20"/>
      <c r="G83" s="20"/>
      <c r="H83" s="20"/>
      <c r="I83" s="20"/>
      <c r="J83" s="20"/>
      <c r="K83" s="20"/>
      <c r="L83" s="20"/>
    </row>
    <row r="84" spans="1:12">
      <c r="A84" s="20"/>
      <c r="B84" s="20"/>
      <c r="C84" s="20"/>
      <c r="D84" s="20"/>
      <c r="E84" s="20"/>
      <c r="F84" s="20"/>
      <c r="G84" s="20"/>
      <c r="H84" s="20"/>
      <c r="I84" s="20"/>
      <c r="J84" s="20"/>
      <c r="K84" s="20"/>
      <c r="L84" s="20"/>
    </row>
    <row r="85" spans="1:12">
      <c r="A85" s="20"/>
      <c r="B85" s="20"/>
      <c r="C85" s="20"/>
      <c r="D85" s="20"/>
      <c r="E85" s="20"/>
      <c r="F85" s="20"/>
      <c r="G85" s="20"/>
      <c r="H85" s="20"/>
      <c r="I85" s="20"/>
      <c r="J85" s="20"/>
      <c r="K85" s="20"/>
      <c r="L85" s="20"/>
    </row>
    <row r="86" spans="1:12">
      <c r="A86" s="20"/>
      <c r="B86" s="20"/>
      <c r="C86" s="20"/>
      <c r="D86" s="20"/>
      <c r="E86" s="20"/>
      <c r="F86" s="20"/>
      <c r="G86" s="20"/>
      <c r="H86" s="20"/>
      <c r="I86" s="20"/>
      <c r="J86" s="20"/>
      <c r="K86" s="20"/>
      <c r="L86" s="20"/>
    </row>
    <row r="87" spans="1:12">
      <c r="A87" s="20"/>
      <c r="B87" s="20"/>
      <c r="C87" s="20"/>
      <c r="D87" s="20"/>
      <c r="E87" s="20"/>
      <c r="F87" s="20"/>
      <c r="G87" s="20"/>
      <c r="H87" s="20"/>
      <c r="I87" s="20"/>
      <c r="J87" s="20"/>
      <c r="K87" s="20"/>
      <c r="L87" s="20"/>
    </row>
    <row r="88" spans="1:12">
      <c r="A88" s="20"/>
      <c r="B88" s="20"/>
      <c r="C88" s="20"/>
      <c r="D88" s="20"/>
      <c r="E88" s="20"/>
      <c r="F88" s="20"/>
      <c r="G88" s="20"/>
      <c r="H88" s="20"/>
      <c r="I88" s="20"/>
      <c r="J88" s="20"/>
      <c r="K88" s="20"/>
      <c r="L88" s="20"/>
    </row>
    <row r="89" spans="1:12">
      <c r="A89" s="20"/>
      <c r="B89" s="20"/>
      <c r="C89" s="20"/>
      <c r="D89" s="20"/>
      <c r="E89" s="20"/>
      <c r="F89" s="20"/>
      <c r="G89" s="20"/>
      <c r="H89" s="20"/>
      <c r="I89" s="20"/>
      <c r="J89" s="20"/>
      <c r="K89" s="20"/>
      <c r="L89" s="20"/>
    </row>
    <row r="90" spans="1:12">
      <c r="A90" s="20"/>
      <c r="B90" s="20"/>
      <c r="C90" s="20"/>
      <c r="D90" s="20"/>
      <c r="E90" s="20"/>
      <c r="F90" s="20"/>
      <c r="G90" s="20"/>
      <c r="H90" s="20"/>
      <c r="I90" s="20"/>
      <c r="J90" s="20"/>
      <c r="K90" s="20"/>
      <c r="L90" s="20"/>
    </row>
    <row r="91" spans="1:12">
      <c r="A91" s="20"/>
      <c r="B91" s="20"/>
      <c r="C91" s="20"/>
      <c r="D91" s="20"/>
      <c r="E91" s="20"/>
      <c r="F91" s="20"/>
      <c r="G91" s="20"/>
      <c r="H91" s="20"/>
      <c r="I91" s="20"/>
      <c r="J91" s="20"/>
      <c r="K91" s="20"/>
      <c r="L91" s="20"/>
    </row>
    <row r="92" spans="1:12">
      <c r="A92" s="20"/>
      <c r="B92" s="20"/>
      <c r="C92" s="20"/>
      <c r="D92" s="20"/>
      <c r="E92" s="20"/>
      <c r="F92" s="20"/>
      <c r="G92" s="20"/>
      <c r="H92" s="20"/>
      <c r="I92" s="20"/>
      <c r="J92" s="20"/>
      <c r="K92" s="20"/>
      <c r="L92" s="20"/>
    </row>
    <row r="93" spans="1:12">
      <c r="A93" s="20"/>
      <c r="B93" s="20"/>
      <c r="C93" s="20"/>
      <c r="D93" s="20"/>
      <c r="E93" s="20"/>
      <c r="F93" s="20"/>
      <c r="G93" s="20"/>
      <c r="H93" s="20"/>
      <c r="I93" s="20"/>
      <c r="J93" s="20"/>
      <c r="K93" s="20"/>
      <c r="L93" s="20"/>
    </row>
    <row r="94" spans="1:12">
      <c r="A94" s="20"/>
      <c r="B94" s="20"/>
      <c r="C94" s="20"/>
      <c r="D94" s="20"/>
      <c r="E94" s="20"/>
      <c r="F94" s="20"/>
      <c r="G94" s="20"/>
      <c r="H94" s="20"/>
      <c r="I94" s="20"/>
      <c r="J94" s="20"/>
      <c r="K94" s="20"/>
      <c r="L94" s="20"/>
    </row>
    <row r="95" spans="1:12">
      <c r="A95" s="20"/>
      <c r="B95" s="20"/>
      <c r="C95" s="20"/>
      <c r="D95" s="20"/>
      <c r="E95" s="20"/>
      <c r="F95" s="20"/>
      <c r="G95" s="20"/>
      <c r="H95" s="20"/>
      <c r="I95" s="20"/>
      <c r="J95" s="20"/>
      <c r="K95" s="20"/>
      <c r="L95" s="20"/>
    </row>
    <row r="96" spans="1:12">
      <c r="A96" s="20"/>
      <c r="B96" s="20"/>
      <c r="C96" s="20"/>
      <c r="D96" s="20"/>
      <c r="E96" s="20"/>
      <c r="F96" s="20"/>
      <c r="G96" s="20"/>
      <c r="H96" s="20"/>
      <c r="I96" s="20"/>
      <c r="J96" s="20"/>
      <c r="K96" s="20"/>
      <c r="L96" s="20"/>
    </row>
    <row r="97" spans="1:12">
      <c r="A97" s="20"/>
      <c r="B97" s="20"/>
      <c r="C97" s="20"/>
      <c r="D97" s="20"/>
      <c r="E97" s="20"/>
      <c r="F97" s="20"/>
      <c r="G97" s="20"/>
      <c r="H97" s="20"/>
      <c r="I97" s="20"/>
      <c r="J97" s="20"/>
      <c r="K97" s="20"/>
      <c r="L97" s="20"/>
    </row>
    <row r="98" spans="1:12">
      <c r="A98" s="20"/>
      <c r="B98" s="20"/>
      <c r="C98" s="20"/>
      <c r="D98" s="20"/>
      <c r="E98" s="20"/>
      <c r="F98" s="20"/>
      <c r="G98" s="20"/>
      <c r="H98" s="20"/>
      <c r="I98" s="20"/>
      <c r="J98" s="20"/>
      <c r="K98" s="20"/>
      <c r="L98" s="20"/>
    </row>
  </sheetData>
  <mergeCells count="8">
    <mergeCell ref="B7:D7"/>
    <mergeCell ref="A8:A9"/>
    <mergeCell ref="B1:D1"/>
    <mergeCell ref="B2:D2"/>
    <mergeCell ref="B3:D3"/>
    <mergeCell ref="B4:D4"/>
    <mergeCell ref="B5:D5"/>
    <mergeCell ref="B6:D6"/>
  </mergeCells>
  <conditionalFormatting sqref="J11:J65">
    <cfRule type="containsText" dxfId="9" priority="4" operator="containsText" text="OPEN/PENDING">
      <formula>NOT(ISERROR(SEARCH("OPEN/PENDING",J11)))</formula>
    </cfRule>
    <cfRule type="containsText" dxfId="8" priority="5" operator="containsText" text="FAIL">
      <formula>NOT(ISERROR(SEARCH("FAIL",J11)))</formula>
    </cfRule>
    <cfRule type="containsText" dxfId="7" priority="6" operator="containsText" text="PASS">
      <formula>NOT(ISERROR(SEARCH("PASS",J11)))</formula>
    </cfRule>
  </conditionalFormatting>
  <dataValidations count="1">
    <dataValidation type="list" allowBlank="1" showInputMessage="1" showErrorMessage="1" sqref="J11:J65" xr:uid="{D360384B-BBBF-4619-BDB4-B5E4AACE3AB8}">
      <formula1>"PASS, FAIL, OPEN,PENDING"</formula1>
    </dataValidation>
  </dataValidations>
  <hyperlinks>
    <hyperlink ref="B2" r:id="rId1" xr:uid="{55A42EA3-25AD-4577-9637-788A53B56325}"/>
    <hyperlink ref="B3" r:id="rId2" xr:uid="{0D17CADD-B0BB-425A-ACF3-261CC6C993C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
  <sheetViews>
    <sheetView workbookViewId="0">
      <selection activeCell="J52" sqref="J52"/>
    </sheetView>
  </sheetViews>
  <sheetFormatPr defaultColWidth="8.85546875" defaultRowHeight="15"/>
  <cols>
    <col min="1" max="1" width="43.42578125" customWidth="1"/>
    <col min="2" max="2" width="23.140625" customWidth="1"/>
    <col min="3" max="3" width="23.7109375" customWidth="1"/>
    <col min="4" max="4" width="25.42578125" customWidth="1"/>
    <col min="5" max="5" width="27.140625" customWidth="1"/>
    <col min="6" max="7" width="37" customWidth="1"/>
    <col min="8" max="8" width="62.140625" customWidth="1"/>
    <col min="9" max="9" width="20.42578125" style="74" customWidth="1"/>
    <col min="10" max="10" width="20.42578125" style="125" customWidth="1"/>
    <col min="11" max="11" width="20.42578125" style="30" customWidth="1"/>
    <col min="12" max="12" width="14.85546875" customWidth="1"/>
  </cols>
  <sheetData>
    <row r="1" spans="1:13" ht="17.45" customHeight="1">
      <c r="A1" s="1" t="s">
        <v>439</v>
      </c>
      <c r="B1" s="192" t="s">
        <v>3259</v>
      </c>
      <c r="C1" s="192"/>
      <c r="D1" s="192"/>
      <c r="H1" s="14" t="s">
        <v>2</v>
      </c>
      <c r="I1" s="14" t="s">
        <v>3</v>
      </c>
      <c r="J1" s="14" t="s">
        <v>4</v>
      </c>
      <c r="K1" s="14" t="s">
        <v>5</v>
      </c>
    </row>
    <row r="2" spans="1:13" ht="17.45" customHeight="1">
      <c r="A2" s="2" t="s">
        <v>441</v>
      </c>
      <c r="B2" s="173" t="s">
        <v>7</v>
      </c>
      <c r="C2" s="174"/>
      <c r="D2" s="174"/>
      <c r="H2" t="s">
        <v>3260</v>
      </c>
      <c r="I2" s="96">
        <v>45727</v>
      </c>
      <c r="J2" s="125" t="s">
        <v>15</v>
      </c>
      <c r="K2" s="126" t="s">
        <v>3261</v>
      </c>
    </row>
    <row r="3" spans="1:13" ht="23.1" customHeight="1">
      <c r="A3" s="1" t="s">
        <v>445</v>
      </c>
      <c r="B3" s="176" t="s">
        <v>13</v>
      </c>
      <c r="C3" s="177"/>
      <c r="D3" s="177"/>
      <c r="H3" t="s">
        <v>3262</v>
      </c>
      <c r="I3" s="74" t="s">
        <v>3263</v>
      </c>
      <c r="J3" s="125" t="s">
        <v>443</v>
      </c>
      <c r="K3" s="126" t="s">
        <v>3264</v>
      </c>
    </row>
    <row r="4" spans="1:13" ht="16.350000000000001" customHeight="1">
      <c r="A4" s="1" t="s">
        <v>448</v>
      </c>
      <c r="B4" s="193" t="s">
        <v>15</v>
      </c>
      <c r="C4" s="193"/>
      <c r="D4" s="193"/>
    </row>
    <row r="5" spans="1:13" ht="14.1" customHeight="1">
      <c r="A5" s="1" t="s">
        <v>450</v>
      </c>
      <c r="B5" s="194">
        <v>45668</v>
      </c>
      <c r="C5" s="194"/>
      <c r="D5" s="194"/>
    </row>
    <row r="6" spans="1:13" ht="16.350000000000001" customHeight="1">
      <c r="A6" s="1" t="s">
        <v>451</v>
      </c>
      <c r="B6" s="195" t="s">
        <v>18</v>
      </c>
      <c r="C6" s="195"/>
      <c r="D6" s="195"/>
    </row>
    <row r="7" spans="1:13" ht="18" customHeight="1">
      <c r="A7" s="1" t="s">
        <v>452</v>
      </c>
      <c r="B7" s="189" t="s">
        <v>8</v>
      </c>
      <c r="C7" s="189"/>
      <c r="D7" s="189"/>
    </row>
    <row r="8" spans="1:13" ht="27.75" customHeight="1">
      <c r="A8" s="190" t="s">
        <v>453</v>
      </c>
      <c r="B8" s="3" t="s">
        <v>454</v>
      </c>
      <c r="C8" s="4" t="s">
        <v>22</v>
      </c>
      <c r="D8" s="5" t="s">
        <v>23</v>
      </c>
    </row>
    <row r="9" spans="1:13" ht="15.6" customHeight="1">
      <c r="A9" s="203"/>
      <c r="B9" s="98">
        <f>COUNTIF(J:J,"Pass")+COUNTIF(J:J,"Fail") +COUNTIF(J:J,"Open") + COUNTIF(J:J,"Pending") + COUNTIF(J:J,"Fixed")</f>
        <v>61</v>
      </c>
      <c r="C9" s="98">
        <f>COUNTIF(
J:J,"Pass")</f>
        <v>59</v>
      </c>
      <c r="D9" s="98">
        <f xml:space="preserve"> COUNTIF(J:J,"FAIL")</f>
        <v>0</v>
      </c>
    </row>
    <row r="10" spans="1:13" ht="36">
      <c r="A10" s="7" t="s">
        <v>455</v>
      </c>
      <c r="B10" s="7" t="s">
        <v>456</v>
      </c>
      <c r="C10" s="7" t="s">
        <v>457</v>
      </c>
      <c r="D10" s="7" t="s">
        <v>458</v>
      </c>
      <c r="E10" s="7" t="s">
        <v>459</v>
      </c>
      <c r="F10" s="7" t="s">
        <v>460</v>
      </c>
      <c r="G10" s="7" t="s">
        <v>461</v>
      </c>
      <c r="H10" s="7" t="s">
        <v>462</v>
      </c>
      <c r="I10" s="7" t="s">
        <v>32</v>
      </c>
      <c r="J10" s="7" t="s">
        <v>463</v>
      </c>
      <c r="K10" s="7" t="s">
        <v>464</v>
      </c>
      <c r="L10" s="7" t="s">
        <v>35</v>
      </c>
    </row>
    <row r="11" spans="1:13" s="18" customFormat="1" ht="45">
      <c r="A11" s="97" t="s">
        <v>3265</v>
      </c>
      <c r="B11" s="106" t="s">
        <v>1764</v>
      </c>
      <c r="C11" s="106" t="s">
        <v>3266</v>
      </c>
      <c r="D11" s="106" t="s">
        <v>3267</v>
      </c>
      <c r="E11" s="106" t="s">
        <v>3268</v>
      </c>
      <c r="F11" s="106" t="s">
        <v>3269</v>
      </c>
      <c r="G11" s="106" t="s">
        <v>3270</v>
      </c>
      <c r="H11" s="106" t="s">
        <v>3271</v>
      </c>
      <c r="I11" s="106" t="s">
        <v>51</v>
      </c>
      <c r="J11" s="133" t="s">
        <v>45</v>
      </c>
      <c r="K11" s="123"/>
      <c r="L11" s="25"/>
    </row>
    <row r="12" spans="1:13" s="18" customFormat="1" ht="30">
      <c r="A12" s="101" t="s">
        <v>3265</v>
      </c>
      <c r="B12" s="102" t="s">
        <v>1764</v>
      </c>
      <c r="C12" s="102" t="s">
        <v>3272</v>
      </c>
      <c r="D12" s="102" t="s">
        <v>3273</v>
      </c>
      <c r="E12" s="102" t="s">
        <v>3274</v>
      </c>
      <c r="F12" s="102" t="s">
        <v>3275</v>
      </c>
      <c r="G12" s="102" t="s">
        <v>3276</v>
      </c>
      <c r="H12" s="102" t="s">
        <v>3277</v>
      </c>
      <c r="I12" s="102" t="s">
        <v>44</v>
      </c>
      <c r="J12" s="134" t="s">
        <v>45</v>
      </c>
      <c r="K12" s="123"/>
      <c r="L12" s="19"/>
      <c r="M12"/>
    </row>
    <row r="13" spans="1:13" s="18" customFormat="1" ht="45">
      <c r="A13" s="101" t="s">
        <v>3265</v>
      </c>
      <c r="B13" s="102" t="s">
        <v>1764</v>
      </c>
      <c r="C13" s="102" t="s">
        <v>3278</v>
      </c>
      <c r="D13" s="102" t="s">
        <v>3279</v>
      </c>
      <c r="E13" s="102" t="s">
        <v>3274</v>
      </c>
      <c r="F13" s="102" t="s">
        <v>3280</v>
      </c>
      <c r="G13" s="102" t="s">
        <v>3281</v>
      </c>
      <c r="H13" s="102" t="s">
        <v>3282</v>
      </c>
      <c r="I13" s="102" t="s">
        <v>44</v>
      </c>
      <c r="J13" s="134" t="s">
        <v>45</v>
      </c>
      <c r="K13" s="123"/>
      <c r="L13" s="19"/>
    </row>
    <row r="14" spans="1:13" s="18" customFormat="1" ht="30">
      <c r="A14" s="101" t="s">
        <v>3265</v>
      </c>
      <c r="B14" s="102" t="s">
        <v>1764</v>
      </c>
      <c r="C14" s="102" t="s">
        <v>3283</v>
      </c>
      <c r="D14" s="102" t="s">
        <v>3284</v>
      </c>
      <c r="E14" s="102" t="s">
        <v>3274</v>
      </c>
      <c r="F14" s="102" t="s">
        <v>3285</v>
      </c>
      <c r="G14" s="102" t="s">
        <v>3286</v>
      </c>
      <c r="H14" s="102" t="s">
        <v>3287</v>
      </c>
      <c r="I14" s="102" t="s">
        <v>44</v>
      </c>
      <c r="J14" s="134" t="s">
        <v>45</v>
      </c>
      <c r="K14" s="123"/>
      <c r="L14" s="19"/>
    </row>
    <row r="15" spans="1:13" s="18" customFormat="1" ht="125.25" customHeight="1">
      <c r="A15" s="101" t="s">
        <v>3265</v>
      </c>
      <c r="B15" s="102" t="s">
        <v>1764</v>
      </c>
      <c r="C15" s="102" t="s">
        <v>3288</v>
      </c>
      <c r="D15" s="102" t="s">
        <v>3289</v>
      </c>
      <c r="E15" s="102" t="s">
        <v>3274</v>
      </c>
      <c r="F15" s="102" t="s">
        <v>3290</v>
      </c>
      <c r="G15" s="102" t="s">
        <v>3291</v>
      </c>
      <c r="H15" s="102" t="s">
        <v>3292</v>
      </c>
      <c r="I15" s="102" t="s">
        <v>44</v>
      </c>
      <c r="J15" s="134" t="s">
        <v>45</v>
      </c>
      <c r="K15" s="123"/>
      <c r="L15" s="19"/>
    </row>
    <row r="16" spans="1:13" s="18" customFormat="1" ht="45">
      <c r="A16" s="101" t="s">
        <v>3293</v>
      </c>
      <c r="B16" s="102" t="s">
        <v>3294</v>
      </c>
      <c r="C16" s="102" t="s">
        <v>3295</v>
      </c>
      <c r="D16" s="102" t="s">
        <v>3296</v>
      </c>
      <c r="E16" s="102" t="s">
        <v>3274</v>
      </c>
      <c r="F16" s="102" t="s">
        <v>3297</v>
      </c>
      <c r="G16" s="102" t="s">
        <v>3298</v>
      </c>
      <c r="H16" s="102" t="s">
        <v>3299</v>
      </c>
      <c r="I16" s="102" t="s">
        <v>44</v>
      </c>
      <c r="J16" s="134" t="s">
        <v>45</v>
      </c>
      <c r="K16" s="123"/>
      <c r="L16" s="19"/>
    </row>
    <row r="17" spans="1:12" s="18" customFormat="1" ht="60">
      <c r="A17" s="101" t="s">
        <v>3293</v>
      </c>
      <c r="B17" s="102" t="s">
        <v>3294</v>
      </c>
      <c r="C17" s="102" t="s">
        <v>3300</v>
      </c>
      <c r="D17" s="102" t="s">
        <v>3301</v>
      </c>
      <c r="E17" s="102" t="s">
        <v>3274</v>
      </c>
      <c r="F17" s="102" t="s">
        <v>3302</v>
      </c>
      <c r="G17" s="102" t="s">
        <v>3303</v>
      </c>
      <c r="H17" s="102" t="s">
        <v>3304</v>
      </c>
      <c r="I17" s="102" t="s">
        <v>51</v>
      </c>
      <c r="J17" s="134" t="s">
        <v>45</v>
      </c>
      <c r="K17" s="123"/>
      <c r="L17" s="19"/>
    </row>
    <row r="18" spans="1:12" s="18" customFormat="1" ht="60">
      <c r="A18" s="101" t="s">
        <v>3293</v>
      </c>
      <c r="B18" s="102" t="s">
        <v>3294</v>
      </c>
      <c r="C18" s="102" t="s">
        <v>3305</v>
      </c>
      <c r="D18" s="102" t="s">
        <v>3306</v>
      </c>
      <c r="E18" s="102" t="s">
        <v>3307</v>
      </c>
      <c r="F18" s="102" t="s">
        <v>3308</v>
      </c>
      <c r="G18" s="102" t="s">
        <v>3309</v>
      </c>
      <c r="H18" s="102" t="s">
        <v>3310</v>
      </c>
      <c r="I18" s="102" t="s">
        <v>51</v>
      </c>
      <c r="J18" s="134" t="s">
        <v>45</v>
      </c>
      <c r="K18" s="123"/>
      <c r="L18" s="19"/>
    </row>
    <row r="19" spans="1:12" s="18" customFormat="1" ht="60">
      <c r="A19" s="101" t="s">
        <v>3311</v>
      </c>
      <c r="B19" s="102" t="s">
        <v>3312</v>
      </c>
      <c r="C19" s="102" t="s">
        <v>3313</v>
      </c>
      <c r="D19" s="102" t="s">
        <v>3314</v>
      </c>
      <c r="E19" s="102" t="s">
        <v>3274</v>
      </c>
      <c r="F19" s="102" t="s">
        <v>3315</v>
      </c>
      <c r="G19" s="102" t="s">
        <v>3316</v>
      </c>
      <c r="H19" s="102" t="s">
        <v>3317</v>
      </c>
      <c r="I19" s="102" t="s">
        <v>44</v>
      </c>
      <c r="J19" s="134" t="s">
        <v>45</v>
      </c>
      <c r="K19" s="123"/>
      <c r="L19" s="19"/>
    </row>
    <row r="20" spans="1:12" s="18" customFormat="1" ht="75">
      <c r="A20" s="101" t="s">
        <v>3311</v>
      </c>
      <c r="B20" s="102" t="s">
        <v>3312</v>
      </c>
      <c r="C20" s="102" t="s">
        <v>3318</v>
      </c>
      <c r="D20" s="102" t="s">
        <v>3319</v>
      </c>
      <c r="E20" s="102" t="s">
        <v>3320</v>
      </c>
      <c r="F20" s="102" t="s">
        <v>3321</v>
      </c>
      <c r="G20" s="102" t="s">
        <v>3322</v>
      </c>
      <c r="H20" s="102" t="s">
        <v>3323</v>
      </c>
      <c r="I20" s="102" t="s">
        <v>51</v>
      </c>
      <c r="J20" s="134" t="s">
        <v>45</v>
      </c>
      <c r="K20" s="123"/>
      <c r="L20" s="19"/>
    </row>
    <row r="21" spans="1:12" s="18" customFormat="1" ht="75">
      <c r="A21" s="101" t="s">
        <v>3311</v>
      </c>
      <c r="B21" s="102" t="s">
        <v>3312</v>
      </c>
      <c r="C21" s="102" t="s">
        <v>3324</v>
      </c>
      <c r="D21" s="102" t="s">
        <v>3325</v>
      </c>
      <c r="E21" s="102" t="s">
        <v>3320</v>
      </c>
      <c r="F21" s="102" t="s">
        <v>3326</v>
      </c>
      <c r="G21" s="102" t="s">
        <v>3327</v>
      </c>
      <c r="H21" s="102" t="s">
        <v>3328</v>
      </c>
      <c r="I21" s="102" t="s">
        <v>51</v>
      </c>
      <c r="J21" s="134" t="s">
        <v>45</v>
      </c>
      <c r="K21" s="123"/>
      <c r="L21" s="19"/>
    </row>
    <row r="22" spans="1:12" s="18" customFormat="1" ht="75">
      <c r="A22" s="101" t="s">
        <v>3329</v>
      </c>
      <c r="B22" s="102" t="s">
        <v>3330</v>
      </c>
      <c r="C22" s="102" t="s">
        <v>3331</v>
      </c>
      <c r="D22" s="102" t="s">
        <v>3332</v>
      </c>
      <c r="E22" s="102" t="s">
        <v>3333</v>
      </c>
      <c r="F22" s="102" t="s">
        <v>3334</v>
      </c>
      <c r="G22" s="102" t="s">
        <v>3335</v>
      </c>
      <c r="H22" s="102" t="s">
        <v>3335</v>
      </c>
      <c r="I22" s="102" t="s">
        <v>44</v>
      </c>
      <c r="J22" s="134" t="s">
        <v>45</v>
      </c>
      <c r="K22" s="123"/>
      <c r="L22" s="19"/>
    </row>
    <row r="23" spans="1:12" s="18" customFormat="1" ht="60">
      <c r="A23" s="101" t="s">
        <v>3329</v>
      </c>
      <c r="B23" s="102" t="s">
        <v>3330</v>
      </c>
      <c r="C23" s="102" t="s">
        <v>3336</v>
      </c>
      <c r="D23" s="102" t="s">
        <v>3337</v>
      </c>
      <c r="E23" s="102" t="s">
        <v>3338</v>
      </c>
      <c r="F23" s="102" t="s">
        <v>3339</v>
      </c>
      <c r="G23" s="102" t="s">
        <v>3340</v>
      </c>
      <c r="H23" s="102" t="s">
        <v>3340</v>
      </c>
      <c r="I23" s="102" t="s">
        <v>2236</v>
      </c>
      <c r="J23" s="134" t="s">
        <v>45</v>
      </c>
      <c r="K23" s="123"/>
      <c r="L23" s="19"/>
    </row>
    <row r="24" spans="1:12" s="18" customFormat="1" ht="120">
      <c r="A24" s="101" t="s">
        <v>3329</v>
      </c>
      <c r="B24" s="102" t="s">
        <v>3330</v>
      </c>
      <c r="C24" s="102" t="s">
        <v>3341</v>
      </c>
      <c r="D24" s="102" t="s">
        <v>3342</v>
      </c>
      <c r="E24" s="102" t="s">
        <v>3343</v>
      </c>
      <c r="F24" s="102" t="s">
        <v>3344</v>
      </c>
      <c r="G24" s="102" t="s">
        <v>3345</v>
      </c>
      <c r="H24" s="102" t="s">
        <v>3346</v>
      </c>
      <c r="I24" s="102" t="s">
        <v>1041</v>
      </c>
      <c r="J24" s="134" t="s">
        <v>45</v>
      </c>
      <c r="K24" s="123"/>
      <c r="L24" s="19"/>
    </row>
    <row r="25" spans="1:12" s="18" customFormat="1" ht="60">
      <c r="A25" s="101" t="s">
        <v>3329</v>
      </c>
      <c r="B25" s="102" t="s">
        <v>3330</v>
      </c>
      <c r="C25" s="102" t="s">
        <v>3347</v>
      </c>
      <c r="D25" s="102" t="s">
        <v>3348</v>
      </c>
      <c r="E25" s="102" t="s">
        <v>3349</v>
      </c>
      <c r="F25" s="102" t="s">
        <v>3350</v>
      </c>
      <c r="G25" s="102" t="s">
        <v>3351</v>
      </c>
      <c r="H25" s="102" t="s">
        <v>3351</v>
      </c>
      <c r="I25" s="102" t="s">
        <v>51</v>
      </c>
      <c r="J25" s="134" t="s">
        <v>45</v>
      </c>
      <c r="K25" s="123"/>
      <c r="L25" s="19"/>
    </row>
    <row r="26" spans="1:12" s="18" customFormat="1" ht="45">
      <c r="A26" s="101" t="s">
        <v>3352</v>
      </c>
      <c r="B26" s="102" t="s">
        <v>3353</v>
      </c>
      <c r="C26" s="102" t="s">
        <v>3354</v>
      </c>
      <c r="D26" s="102" t="s">
        <v>3355</v>
      </c>
      <c r="E26" s="102" t="s">
        <v>3356</v>
      </c>
      <c r="F26" s="102" t="s">
        <v>3357</v>
      </c>
      <c r="G26" s="102" t="s">
        <v>3358</v>
      </c>
      <c r="H26" s="102" t="s">
        <v>3359</v>
      </c>
      <c r="I26" s="102" t="s">
        <v>51</v>
      </c>
      <c r="J26" s="134" t="s">
        <v>45</v>
      </c>
      <c r="K26" s="123"/>
      <c r="L26" s="19"/>
    </row>
    <row r="27" spans="1:12" s="18" customFormat="1" ht="45">
      <c r="A27" s="101" t="s">
        <v>3352</v>
      </c>
      <c r="B27" s="102" t="s">
        <v>3353</v>
      </c>
      <c r="C27" s="102" t="s">
        <v>3360</v>
      </c>
      <c r="D27" s="102" t="s">
        <v>3361</v>
      </c>
      <c r="E27" s="102" t="s">
        <v>3362</v>
      </c>
      <c r="F27" s="102" t="s">
        <v>3363</v>
      </c>
      <c r="G27" s="102" t="s">
        <v>3364</v>
      </c>
      <c r="H27" s="102" t="s">
        <v>3365</v>
      </c>
      <c r="I27" s="102" t="s">
        <v>44</v>
      </c>
      <c r="J27" s="134" t="s">
        <v>45</v>
      </c>
      <c r="K27" s="123"/>
      <c r="L27" s="19"/>
    </row>
    <row r="28" spans="1:12" s="18" customFormat="1" ht="75">
      <c r="A28" s="101" t="s">
        <v>3352</v>
      </c>
      <c r="B28" s="102" t="s">
        <v>3353</v>
      </c>
      <c r="C28" s="102" t="s">
        <v>3366</v>
      </c>
      <c r="D28" s="102" t="s">
        <v>3367</v>
      </c>
      <c r="E28" s="102" t="s">
        <v>3362</v>
      </c>
      <c r="F28" s="102" t="s">
        <v>3368</v>
      </c>
      <c r="G28" s="102" t="s">
        <v>3369</v>
      </c>
      <c r="H28" s="102" t="s">
        <v>3370</v>
      </c>
      <c r="I28" s="102" t="s">
        <v>51</v>
      </c>
      <c r="J28" s="134" t="s">
        <v>45</v>
      </c>
      <c r="K28" s="123"/>
      <c r="L28" s="19"/>
    </row>
    <row r="29" spans="1:12" s="18" customFormat="1" ht="45">
      <c r="A29" s="101" t="s">
        <v>3352</v>
      </c>
      <c r="B29" s="102" t="s">
        <v>3353</v>
      </c>
      <c r="C29" s="102" t="s">
        <v>3371</v>
      </c>
      <c r="D29" s="102" t="s">
        <v>3372</v>
      </c>
      <c r="E29" s="102" t="s">
        <v>3362</v>
      </c>
      <c r="F29" s="102" t="s">
        <v>3373</v>
      </c>
      <c r="G29" s="102" t="s">
        <v>3374</v>
      </c>
      <c r="H29" s="102" t="s">
        <v>3375</v>
      </c>
      <c r="I29" s="102" t="s">
        <v>44</v>
      </c>
      <c r="J29" s="134" t="s">
        <v>45</v>
      </c>
      <c r="K29" s="123"/>
      <c r="L29" s="19"/>
    </row>
    <row r="30" spans="1:12" s="18" customFormat="1" ht="75">
      <c r="A30" s="101" t="s">
        <v>3352</v>
      </c>
      <c r="B30" s="102" t="s">
        <v>3353</v>
      </c>
      <c r="C30" s="102" t="s">
        <v>3376</v>
      </c>
      <c r="D30" s="102" t="s">
        <v>3377</v>
      </c>
      <c r="E30" s="102" t="s">
        <v>3362</v>
      </c>
      <c r="F30" s="102" t="s">
        <v>3378</v>
      </c>
      <c r="G30" s="102" t="s">
        <v>3379</v>
      </c>
      <c r="H30" s="102" t="s">
        <v>3380</v>
      </c>
      <c r="I30" s="102" t="s">
        <v>51</v>
      </c>
      <c r="J30" s="134" t="s">
        <v>45</v>
      </c>
      <c r="K30" s="123"/>
      <c r="L30" s="19"/>
    </row>
    <row r="31" spans="1:12" s="18" customFormat="1" ht="90">
      <c r="A31" s="101" t="s">
        <v>3352</v>
      </c>
      <c r="B31" s="102" t="s">
        <v>3353</v>
      </c>
      <c r="C31" s="102" t="s">
        <v>3381</v>
      </c>
      <c r="D31" s="102" t="s">
        <v>3382</v>
      </c>
      <c r="E31" s="102" t="s">
        <v>3362</v>
      </c>
      <c r="F31" s="102" t="s">
        <v>3383</v>
      </c>
      <c r="G31" s="102" t="s">
        <v>3384</v>
      </c>
      <c r="H31" s="102" t="s">
        <v>3385</v>
      </c>
      <c r="I31" s="102" t="s">
        <v>51</v>
      </c>
      <c r="J31" s="134" t="s">
        <v>45</v>
      </c>
      <c r="K31" s="123"/>
      <c r="L31" s="19"/>
    </row>
    <row r="32" spans="1:12" s="18" customFormat="1" ht="120">
      <c r="A32" s="101" t="s">
        <v>3386</v>
      </c>
      <c r="B32" s="102" t="s">
        <v>3387</v>
      </c>
      <c r="C32" s="102" t="s">
        <v>3388</v>
      </c>
      <c r="D32" s="102" t="s">
        <v>3389</v>
      </c>
      <c r="E32" s="102" t="s">
        <v>3390</v>
      </c>
      <c r="F32" s="102" t="s">
        <v>3391</v>
      </c>
      <c r="G32" s="102" t="s">
        <v>3392</v>
      </c>
      <c r="H32" s="102" t="s">
        <v>3393</v>
      </c>
      <c r="I32" s="102" t="s">
        <v>44</v>
      </c>
      <c r="J32" s="134" t="s">
        <v>45</v>
      </c>
      <c r="K32" s="123"/>
      <c r="L32" s="19"/>
    </row>
    <row r="33" spans="1:12" s="18" customFormat="1" ht="60">
      <c r="A33" s="101" t="s">
        <v>3386</v>
      </c>
      <c r="B33" s="102" t="s">
        <v>3387</v>
      </c>
      <c r="C33" s="102" t="s">
        <v>3394</v>
      </c>
      <c r="D33" s="102" t="s">
        <v>3395</v>
      </c>
      <c r="E33" s="102" t="s">
        <v>3362</v>
      </c>
      <c r="F33" s="102" t="s">
        <v>3396</v>
      </c>
      <c r="G33" s="102" t="s">
        <v>3397</v>
      </c>
      <c r="H33" s="102" t="s">
        <v>3398</v>
      </c>
      <c r="I33" s="102" t="s">
        <v>51</v>
      </c>
      <c r="J33" s="134" t="s">
        <v>45</v>
      </c>
      <c r="K33" s="123"/>
      <c r="L33" s="19"/>
    </row>
    <row r="34" spans="1:12" s="18" customFormat="1" ht="45">
      <c r="A34" s="101" t="s">
        <v>3386</v>
      </c>
      <c r="B34" s="102" t="s">
        <v>3387</v>
      </c>
      <c r="C34" s="102" t="s">
        <v>3399</v>
      </c>
      <c r="D34" s="102" t="s">
        <v>3400</v>
      </c>
      <c r="E34" s="102" t="s">
        <v>3401</v>
      </c>
      <c r="F34" s="102" t="s">
        <v>3402</v>
      </c>
      <c r="G34" s="102" t="s">
        <v>3403</v>
      </c>
      <c r="H34" s="102" t="s">
        <v>3404</v>
      </c>
      <c r="I34" s="102" t="s">
        <v>51</v>
      </c>
      <c r="J34" s="134" t="s">
        <v>45</v>
      </c>
      <c r="K34" s="123"/>
      <c r="L34" s="19"/>
    </row>
    <row r="35" spans="1:12" s="18" customFormat="1" ht="30">
      <c r="A35" s="101" t="s">
        <v>3405</v>
      </c>
      <c r="B35" s="102" t="s">
        <v>3406</v>
      </c>
      <c r="C35" s="102" t="s">
        <v>3407</v>
      </c>
      <c r="D35" s="102" t="s">
        <v>3408</v>
      </c>
      <c r="E35" s="102" t="s">
        <v>3409</v>
      </c>
      <c r="F35" s="102" t="s">
        <v>3410</v>
      </c>
      <c r="G35" s="102" t="s">
        <v>3411</v>
      </c>
      <c r="H35" s="102" t="s">
        <v>3412</v>
      </c>
      <c r="I35" s="102" t="s">
        <v>51</v>
      </c>
      <c r="J35" s="134" t="s">
        <v>45</v>
      </c>
      <c r="K35" s="123"/>
      <c r="L35" s="19"/>
    </row>
    <row r="36" spans="1:12" s="18" customFormat="1" ht="45">
      <c r="A36" s="101" t="s">
        <v>3405</v>
      </c>
      <c r="B36" s="102" t="s">
        <v>3406</v>
      </c>
      <c r="C36" s="102" t="s">
        <v>3413</v>
      </c>
      <c r="D36" s="102" t="s">
        <v>3414</v>
      </c>
      <c r="E36" s="102" t="s">
        <v>3415</v>
      </c>
      <c r="F36" s="102" t="s">
        <v>3416</v>
      </c>
      <c r="G36" s="102" t="s">
        <v>3417</v>
      </c>
      <c r="H36" s="102" t="s">
        <v>3418</v>
      </c>
      <c r="I36" s="102" t="s">
        <v>1041</v>
      </c>
      <c r="J36" s="134" t="s">
        <v>45</v>
      </c>
      <c r="K36" s="123"/>
      <c r="L36" s="19"/>
    </row>
    <row r="37" spans="1:12" s="18" customFormat="1" ht="45">
      <c r="A37" s="101" t="s">
        <v>3405</v>
      </c>
      <c r="B37" s="102" t="s">
        <v>3406</v>
      </c>
      <c r="C37" s="102" t="s">
        <v>3419</v>
      </c>
      <c r="D37" s="102" t="s">
        <v>3420</v>
      </c>
      <c r="E37" s="102" t="s">
        <v>3421</v>
      </c>
      <c r="F37" s="102" t="s">
        <v>3422</v>
      </c>
      <c r="G37" s="102" t="s">
        <v>3423</v>
      </c>
      <c r="H37" s="102" t="s">
        <v>3424</v>
      </c>
      <c r="I37" s="102" t="s">
        <v>51</v>
      </c>
      <c r="J37" s="134" t="s">
        <v>45</v>
      </c>
      <c r="K37" s="123"/>
      <c r="L37" s="19"/>
    </row>
    <row r="38" spans="1:12" s="18" customFormat="1" ht="135">
      <c r="A38" s="101" t="s">
        <v>3405</v>
      </c>
      <c r="B38" s="102" t="s">
        <v>3406</v>
      </c>
      <c r="C38" s="102" t="s">
        <v>3425</v>
      </c>
      <c r="D38" s="102" t="s">
        <v>3426</v>
      </c>
      <c r="E38" s="102" t="s">
        <v>3427</v>
      </c>
      <c r="F38" s="102" t="s">
        <v>3428</v>
      </c>
      <c r="G38" s="102" t="s">
        <v>3429</v>
      </c>
      <c r="H38" s="102" t="s">
        <v>3429</v>
      </c>
      <c r="I38" s="102" t="s">
        <v>51</v>
      </c>
      <c r="J38" s="134" t="s">
        <v>45</v>
      </c>
      <c r="K38" s="123"/>
      <c r="L38" s="29"/>
    </row>
    <row r="39" spans="1:12" s="18" customFormat="1" ht="60">
      <c r="A39" s="101" t="s">
        <v>3430</v>
      </c>
      <c r="B39" s="102" t="s">
        <v>3431</v>
      </c>
      <c r="C39" s="102" t="s">
        <v>3432</v>
      </c>
      <c r="D39" s="102" t="s">
        <v>3433</v>
      </c>
      <c r="E39" s="102" t="s">
        <v>3434</v>
      </c>
      <c r="F39" s="102" t="s">
        <v>3435</v>
      </c>
      <c r="G39" s="102" t="s">
        <v>3436</v>
      </c>
      <c r="H39" s="102" t="s">
        <v>3436</v>
      </c>
      <c r="I39" s="102" t="s">
        <v>51</v>
      </c>
      <c r="J39" s="134" t="s">
        <v>45</v>
      </c>
      <c r="K39" s="123"/>
      <c r="L39" s="29"/>
    </row>
    <row r="40" spans="1:12" s="18" customFormat="1" ht="45">
      <c r="A40" s="101" t="s">
        <v>3430</v>
      </c>
      <c r="B40" s="102" t="s">
        <v>3431</v>
      </c>
      <c r="C40" s="102" t="s">
        <v>3437</v>
      </c>
      <c r="D40" s="102" t="s">
        <v>3438</v>
      </c>
      <c r="E40" s="102" t="s">
        <v>3439</v>
      </c>
      <c r="F40" s="102" t="s">
        <v>1878</v>
      </c>
      <c r="G40" s="102" t="s">
        <v>3440</v>
      </c>
      <c r="H40" s="102" t="s">
        <v>3440</v>
      </c>
      <c r="I40" s="102" t="s">
        <v>51</v>
      </c>
      <c r="J40" s="134" t="s">
        <v>45</v>
      </c>
      <c r="K40" s="123"/>
      <c r="L40" s="29"/>
    </row>
    <row r="41" spans="1:12" s="18" customFormat="1" ht="120">
      <c r="A41" s="101" t="s">
        <v>3430</v>
      </c>
      <c r="B41" s="102" t="s">
        <v>3431</v>
      </c>
      <c r="C41" s="102" t="s">
        <v>3441</v>
      </c>
      <c r="D41" s="102" t="s">
        <v>3442</v>
      </c>
      <c r="E41" s="102" t="s">
        <v>3443</v>
      </c>
      <c r="F41" s="102" t="s">
        <v>3444</v>
      </c>
      <c r="G41" s="102" t="s">
        <v>3345</v>
      </c>
      <c r="H41" s="102" t="s">
        <v>3345</v>
      </c>
      <c r="I41" s="102" t="s">
        <v>1041</v>
      </c>
      <c r="J41" s="134" t="s">
        <v>45</v>
      </c>
      <c r="K41" s="123"/>
      <c r="L41" s="29"/>
    </row>
    <row r="42" spans="1:12" s="18" customFormat="1" ht="60">
      <c r="A42" s="101" t="s">
        <v>3445</v>
      </c>
      <c r="B42" s="102" t="s">
        <v>3446</v>
      </c>
      <c r="C42" s="102" t="s">
        <v>3447</v>
      </c>
      <c r="D42" s="102" t="s">
        <v>3448</v>
      </c>
      <c r="E42" s="102" t="s">
        <v>3449</v>
      </c>
      <c r="F42" s="102" t="s">
        <v>3450</v>
      </c>
      <c r="G42" s="102" t="s">
        <v>3451</v>
      </c>
      <c r="H42" s="102" t="s">
        <v>3451</v>
      </c>
      <c r="I42" s="102" t="s">
        <v>44</v>
      </c>
      <c r="J42" s="134" t="s">
        <v>45</v>
      </c>
      <c r="K42" s="123"/>
      <c r="L42" s="97"/>
    </row>
    <row r="43" spans="1:12" s="18" customFormat="1" ht="60">
      <c r="A43" s="101" t="s">
        <v>3445</v>
      </c>
      <c r="B43" s="102" t="s">
        <v>3446</v>
      </c>
      <c r="C43" s="102" t="s">
        <v>3452</v>
      </c>
      <c r="D43" s="102" t="s">
        <v>3453</v>
      </c>
      <c r="E43" s="102" t="s">
        <v>3454</v>
      </c>
      <c r="F43" s="102" t="s">
        <v>3455</v>
      </c>
      <c r="G43" s="102" t="s">
        <v>3456</v>
      </c>
      <c r="H43" s="102" t="s">
        <v>3456</v>
      </c>
      <c r="I43" s="102" t="s">
        <v>51</v>
      </c>
      <c r="J43" s="134" t="s">
        <v>45</v>
      </c>
      <c r="K43" s="123"/>
      <c r="L43" s="97"/>
    </row>
    <row r="44" spans="1:12" s="18" customFormat="1" ht="60">
      <c r="A44" s="101" t="s">
        <v>3445</v>
      </c>
      <c r="B44" s="102" t="s">
        <v>3446</v>
      </c>
      <c r="C44" s="102" t="s">
        <v>3457</v>
      </c>
      <c r="D44" s="102" t="s">
        <v>3458</v>
      </c>
      <c r="E44" s="102" t="s">
        <v>3454</v>
      </c>
      <c r="F44" s="102" t="s">
        <v>3459</v>
      </c>
      <c r="G44" s="102" t="s">
        <v>3460</v>
      </c>
      <c r="H44" s="102" t="s">
        <v>3460</v>
      </c>
      <c r="I44" s="102" t="s">
        <v>44</v>
      </c>
      <c r="J44" s="134" t="s">
        <v>45</v>
      </c>
      <c r="K44" s="123"/>
      <c r="L44" s="97"/>
    </row>
    <row r="45" spans="1:12" s="18" customFormat="1" ht="90">
      <c r="A45" s="101" t="s">
        <v>3445</v>
      </c>
      <c r="B45" s="102" t="s">
        <v>3446</v>
      </c>
      <c r="C45" s="102" t="s">
        <v>3461</v>
      </c>
      <c r="D45" s="102" t="s">
        <v>3462</v>
      </c>
      <c r="E45" s="102" t="s">
        <v>3454</v>
      </c>
      <c r="F45" s="102" t="s">
        <v>3463</v>
      </c>
      <c r="G45" s="102" t="s">
        <v>3464</v>
      </c>
      <c r="H45" s="102" t="s">
        <v>3464</v>
      </c>
      <c r="I45" s="102" t="s">
        <v>44</v>
      </c>
      <c r="J45" s="134" t="s">
        <v>45</v>
      </c>
      <c r="K45" s="123"/>
      <c r="L45" s="97"/>
    </row>
    <row r="46" spans="1:12" s="18" customFormat="1" ht="165">
      <c r="A46" s="101" t="s">
        <v>3465</v>
      </c>
      <c r="B46" s="102" t="s">
        <v>3466</v>
      </c>
      <c r="C46" s="102" t="s">
        <v>3467</v>
      </c>
      <c r="D46" s="102" t="s">
        <v>3468</v>
      </c>
      <c r="E46" s="102" t="s">
        <v>3469</v>
      </c>
      <c r="F46" s="102" t="s">
        <v>3470</v>
      </c>
      <c r="G46" s="102" t="s">
        <v>3471</v>
      </c>
      <c r="H46" s="102" t="s">
        <v>3472</v>
      </c>
      <c r="I46" s="102" t="s">
        <v>1838</v>
      </c>
      <c r="J46" s="134" t="s">
        <v>45</v>
      </c>
      <c r="K46" s="123"/>
      <c r="L46" s="97"/>
    </row>
    <row r="47" spans="1:12" ht="75">
      <c r="A47" s="101" t="s">
        <v>3465</v>
      </c>
      <c r="B47" s="102" t="s">
        <v>3466</v>
      </c>
      <c r="C47" s="102" t="s">
        <v>3473</v>
      </c>
      <c r="D47" s="102" t="s">
        <v>3474</v>
      </c>
      <c r="E47" s="102" t="s">
        <v>3475</v>
      </c>
      <c r="F47" s="102" t="s">
        <v>3476</v>
      </c>
      <c r="G47" s="102" t="s">
        <v>3477</v>
      </c>
      <c r="H47" s="102" t="s">
        <v>3478</v>
      </c>
      <c r="I47" s="102" t="s">
        <v>2236</v>
      </c>
      <c r="J47" s="134" t="s">
        <v>45</v>
      </c>
      <c r="K47" s="123"/>
      <c r="L47" s="97"/>
    </row>
    <row r="48" spans="1:12" ht="90">
      <c r="A48" s="101" t="s">
        <v>3465</v>
      </c>
      <c r="B48" s="102" t="s">
        <v>3466</v>
      </c>
      <c r="C48" s="102" t="s">
        <v>3479</v>
      </c>
      <c r="D48" s="102" t="s">
        <v>3480</v>
      </c>
      <c r="E48" s="102" t="s">
        <v>3481</v>
      </c>
      <c r="F48" s="102" t="s">
        <v>3482</v>
      </c>
      <c r="G48" s="102" t="s">
        <v>3483</v>
      </c>
      <c r="H48" s="102" t="s">
        <v>3484</v>
      </c>
      <c r="I48" s="102" t="s">
        <v>1838</v>
      </c>
      <c r="J48" s="134" t="s">
        <v>45</v>
      </c>
      <c r="K48" s="123"/>
      <c r="L48" s="97"/>
    </row>
    <row r="49" spans="1:12" ht="75">
      <c r="A49" s="101" t="s">
        <v>3485</v>
      </c>
      <c r="B49" s="102" t="s">
        <v>3486</v>
      </c>
      <c r="C49" s="102" t="s">
        <v>3487</v>
      </c>
      <c r="D49" s="102" t="s">
        <v>3488</v>
      </c>
      <c r="E49" s="102" t="s">
        <v>3489</v>
      </c>
      <c r="F49" s="102" t="s">
        <v>3490</v>
      </c>
      <c r="G49" s="102" t="s">
        <v>3491</v>
      </c>
      <c r="H49" s="102" t="s">
        <v>3492</v>
      </c>
      <c r="I49" s="102" t="s">
        <v>1041</v>
      </c>
      <c r="J49" s="134" t="s">
        <v>45</v>
      </c>
      <c r="K49" s="123"/>
      <c r="L49" s="97"/>
    </row>
    <row r="50" spans="1:12" ht="90">
      <c r="A50" s="101" t="s">
        <v>3485</v>
      </c>
      <c r="B50" s="102" t="s">
        <v>3493</v>
      </c>
      <c r="C50" s="102" t="s">
        <v>3494</v>
      </c>
      <c r="D50" s="102" t="s">
        <v>3495</v>
      </c>
      <c r="E50" s="102" t="s">
        <v>3496</v>
      </c>
      <c r="F50" s="102" t="s">
        <v>3497</v>
      </c>
      <c r="G50" s="102" t="s">
        <v>3498</v>
      </c>
      <c r="H50" s="102" t="s">
        <v>3499</v>
      </c>
      <c r="I50" s="102" t="s">
        <v>1041</v>
      </c>
      <c r="J50" s="135" t="s">
        <v>45</v>
      </c>
      <c r="K50" s="123"/>
      <c r="L50" s="97"/>
    </row>
    <row r="51" spans="1:12" ht="105">
      <c r="A51" s="101" t="s">
        <v>3485</v>
      </c>
      <c r="B51" s="102" t="s">
        <v>3500</v>
      </c>
      <c r="C51" s="102" t="s">
        <v>3501</v>
      </c>
      <c r="D51" s="102" t="s">
        <v>3502</v>
      </c>
      <c r="E51" s="102" t="s">
        <v>3503</v>
      </c>
      <c r="F51" s="102" t="s">
        <v>3504</v>
      </c>
      <c r="G51" s="102" t="s">
        <v>3505</v>
      </c>
      <c r="H51" s="102" t="s">
        <v>43</v>
      </c>
      <c r="I51" s="132" t="s">
        <v>1838</v>
      </c>
      <c r="J51" s="136" t="s">
        <v>173</v>
      </c>
      <c r="K51" s="97" t="s">
        <v>3506</v>
      </c>
      <c r="L51" s="97"/>
    </row>
    <row r="52" spans="1:12" ht="90">
      <c r="A52" s="101" t="s">
        <v>3485</v>
      </c>
      <c r="B52" s="102" t="s">
        <v>3507</v>
      </c>
      <c r="C52" s="102" t="s">
        <v>3508</v>
      </c>
      <c r="D52" s="102" t="s">
        <v>3509</v>
      </c>
      <c r="E52" s="102" t="s">
        <v>3503</v>
      </c>
      <c r="F52" s="102" t="s">
        <v>3510</v>
      </c>
      <c r="G52" s="102" t="s">
        <v>3511</v>
      </c>
      <c r="H52" s="102" t="s">
        <v>43</v>
      </c>
      <c r="I52" s="132" t="s">
        <v>1838</v>
      </c>
      <c r="J52" s="136" t="s">
        <v>173</v>
      </c>
      <c r="K52" s="97" t="s">
        <v>3512</v>
      </c>
      <c r="L52" s="97"/>
    </row>
    <row r="53" spans="1:12" ht="105">
      <c r="A53" s="101" t="s">
        <v>3513</v>
      </c>
      <c r="B53" s="102" t="s">
        <v>3514</v>
      </c>
      <c r="C53" s="102" t="s">
        <v>3515</v>
      </c>
      <c r="D53" s="102" t="s">
        <v>3516</v>
      </c>
      <c r="E53" s="102" t="s">
        <v>3517</v>
      </c>
      <c r="F53" s="102" t="s">
        <v>3518</v>
      </c>
      <c r="G53" s="102" t="s">
        <v>3519</v>
      </c>
      <c r="H53" s="102" t="s">
        <v>3519</v>
      </c>
      <c r="I53" s="102" t="s">
        <v>51</v>
      </c>
      <c r="J53" s="134" t="s">
        <v>45</v>
      </c>
      <c r="K53" s="123" t="s">
        <v>3520</v>
      </c>
      <c r="L53" s="97"/>
    </row>
    <row r="54" spans="1:12" ht="75">
      <c r="A54" s="101" t="s">
        <v>3521</v>
      </c>
      <c r="B54" s="102" t="s">
        <v>3522</v>
      </c>
      <c r="C54" s="102" t="s">
        <v>3523</v>
      </c>
      <c r="D54" s="102" t="s">
        <v>3524</v>
      </c>
      <c r="E54" s="102" t="s">
        <v>3525</v>
      </c>
      <c r="F54" s="102" t="s">
        <v>3526</v>
      </c>
      <c r="G54" s="102" t="s">
        <v>3527</v>
      </c>
      <c r="H54" s="102" t="s">
        <v>3528</v>
      </c>
      <c r="I54" s="102" t="s">
        <v>51</v>
      </c>
      <c r="J54" s="134" t="s">
        <v>45</v>
      </c>
      <c r="K54" s="123"/>
      <c r="L54" s="97"/>
    </row>
    <row r="55" spans="1:12" ht="105">
      <c r="A55" s="101" t="s">
        <v>3521</v>
      </c>
      <c r="B55" s="102" t="s">
        <v>3529</v>
      </c>
      <c r="C55" s="102" t="s">
        <v>3530</v>
      </c>
      <c r="D55" s="102" t="s">
        <v>3531</v>
      </c>
      <c r="E55" s="102" t="s">
        <v>3532</v>
      </c>
      <c r="F55" s="102" t="s">
        <v>3533</v>
      </c>
      <c r="G55" s="102" t="s">
        <v>3534</v>
      </c>
      <c r="H55" s="102" t="s">
        <v>3535</v>
      </c>
      <c r="I55" s="102" t="s">
        <v>51</v>
      </c>
      <c r="J55" s="134" t="s">
        <v>45</v>
      </c>
      <c r="K55" s="123"/>
      <c r="L55" s="97"/>
    </row>
    <row r="56" spans="1:12" ht="75">
      <c r="A56" s="101" t="s">
        <v>3521</v>
      </c>
      <c r="B56" s="102" t="s">
        <v>3536</v>
      </c>
      <c r="C56" s="102" t="s">
        <v>3537</v>
      </c>
      <c r="D56" s="102" t="s">
        <v>3538</v>
      </c>
      <c r="E56" s="102" t="s">
        <v>3539</v>
      </c>
      <c r="F56" s="102" t="s">
        <v>3540</v>
      </c>
      <c r="G56" s="102" t="s">
        <v>3541</v>
      </c>
      <c r="H56" s="102" t="s">
        <v>3542</v>
      </c>
      <c r="I56" s="102" t="s">
        <v>1041</v>
      </c>
      <c r="J56" s="134" t="s">
        <v>45</v>
      </c>
      <c r="K56" s="123"/>
      <c r="L56" s="97"/>
    </row>
    <row r="57" spans="1:12" ht="195">
      <c r="A57" s="101" t="s">
        <v>3521</v>
      </c>
      <c r="B57" s="102" t="s">
        <v>3543</v>
      </c>
      <c r="C57" s="102" t="s">
        <v>3544</v>
      </c>
      <c r="D57" s="102" t="s">
        <v>3545</v>
      </c>
      <c r="E57" s="102" t="s">
        <v>3546</v>
      </c>
      <c r="F57" s="102" t="s">
        <v>3547</v>
      </c>
      <c r="G57" s="102" t="s">
        <v>3548</v>
      </c>
      <c r="H57" s="102" t="s">
        <v>3548</v>
      </c>
      <c r="I57" s="102" t="s">
        <v>1838</v>
      </c>
      <c r="J57" s="134" t="s">
        <v>45</v>
      </c>
      <c r="K57" s="123"/>
      <c r="L57" s="97"/>
    </row>
    <row r="58" spans="1:12" ht="135">
      <c r="A58" s="101" t="s">
        <v>3549</v>
      </c>
      <c r="B58" s="102" t="s">
        <v>3550</v>
      </c>
      <c r="C58" s="102" t="s">
        <v>3551</v>
      </c>
      <c r="D58" s="102" t="s">
        <v>3552</v>
      </c>
      <c r="E58" s="102" t="s">
        <v>3553</v>
      </c>
      <c r="F58" s="102" t="s">
        <v>3554</v>
      </c>
      <c r="G58" s="102" t="s">
        <v>3555</v>
      </c>
      <c r="H58" s="102" t="s">
        <v>3556</v>
      </c>
      <c r="I58" s="102" t="s">
        <v>1838</v>
      </c>
      <c r="J58" s="134" t="s">
        <v>45</v>
      </c>
      <c r="K58" s="123"/>
      <c r="L58" s="97"/>
    </row>
    <row r="59" spans="1:12" ht="90">
      <c r="A59" s="101" t="s">
        <v>3549</v>
      </c>
      <c r="B59" s="102" t="s">
        <v>3557</v>
      </c>
      <c r="C59" s="102" t="s">
        <v>3558</v>
      </c>
      <c r="D59" s="102" t="s">
        <v>3559</v>
      </c>
      <c r="E59" s="102" t="s">
        <v>3560</v>
      </c>
      <c r="F59" s="102" t="s">
        <v>3561</v>
      </c>
      <c r="G59" s="102" t="s">
        <v>3562</v>
      </c>
      <c r="H59" s="102" t="s">
        <v>3563</v>
      </c>
      <c r="I59" s="102" t="s">
        <v>1041</v>
      </c>
      <c r="J59" s="134" t="s">
        <v>45</v>
      </c>
      <c r="K59" s="123"/>
      <c r="L59" s="97"/>
    </row>
    <row r="60" spans="1:12" ht="120">
      <c r="A60" s="101" t="s">
        <v>3549</v>
      </c>
      <c r="B60" s="102" t="s">
        <v>3564</v>
      </c>
      <c r="C60" s="102" t="s">
        <v>3565</v>
      </c>
      <c r="D60" s="102" t="s">
        <v>3566</v>
      </c>
      <c r="E60" s="102" t="s">
        <v>3567</v>
      </c>
      <c r="F60" s="102" t="s">
        <v>3568</v>
      </c>
      <c r="G60" s="102" t="s">
        <v>3548</v>
      </c>
      <c r="H60" s="102" t="s">
        <v>3548</v>
      </c>
      <c r="I60" s="102" t="s">
        <v>1041</v>
      </c>
      <c r="J60" s="134" t="s">
        <v>45</v>
      </c>
      <c r="K60" s="123"/>
      <c r="L60" s="97"/>
    </row>
    <row r="61" spans="1:12" ht="90">
      <c r="A61" s="101" t="s">
        <v>3569</v>
      </c>
      <c r="B61" s="102" t="s">
        <v>3570</v>
      </c>
      <c r="C61" s="102" t="s">
        <v>3571</v>
      </c>
      <c r="D61" s="102" t="s">
        <v>3572</v>
      </c>
      <c r="E61" s="102" t="s">
        <v>3573</v>
      </c>
      <c r="F61" s="102" t="s">
        <v>3574</v>
      </c>
      <c r="G61" s="102" t="s">
        <v>3575</v>
      </c>
      <c r="H61" s="102" t="s">
        <v>3576</v>
      </c>
      <c r="I61" s="102" t="s">
        <v>51</v>
      </c>
      <c r="J61" s="134" t="s">
        <v>45</v>
      </c>
      <c r="K61" s="123"/>
      <c r="L61" s="97"/>
    </row>
    <row r="62" spans="1:12" ht="60">
      <c r="A62" s="101" t="s">
        <v>3569</v>
      </c>
      <c r="B62" s="102" t="s">
        <v>3577</v>
      </c>
      <c r="C62" s="102" t="s">
        <v>3578</v>
      </c>
      <c r="D62" s="102" t="s">
        <v>3579</v>
      </c>
      <c r="E62" s="102" t="s">
        <v>3580</v>
      </c>
      <c r="F62" s="102" t="s">
        <v>3581</v>
      </c>
      <c r="G62" s="102" t="s">
        <v>3582</v>
      </c>
      <c r="H62" s="102" t="s">
        <v>3582</v>
      </c>
      <c r="I62" s="102" t="s">
        <v>44</v>
      </c>
      <c r="J62" s="134" t="s">
        <v>45</v>
      </c>
      <c r="K62" s="123"/>
      <c r="L62" s="97"/>
    </row>
    <row r="63" spans="1:12" ht="105">
      <c r="A63" s="101" t="s">
        <v>3569</v>
      </c>
      <c r="B63" s="102" t="s">
        <v>3583</v>
      </c>
      <c r="C63" s="102" t="s">
        <v>3584</v>
      </c>
      <c r="D63" s="102" t="s">
        <v>3585</v>
      </c>
      <c r="E63" s="102" t="s">
        <v>3586</v>
      </c>
      <c r="F63" s="102" t="s">
        <v>3587</v>
      </c>
      <c r="G63" s="102" t="s">
        <v>3588</v>
      </c>
      <c r="H63" s="102" t="s">
        <v>3589</v>
      </c>
      <c r="I63" s="102" t="s">
        <v>51</v>
      </c>
      <c r="J63" s="134" t="s">
        <v>45</v>
      </c>
      <c r="K63" s="123"/>
      <c r="L63" s="97"/>
    </row>
    <row r="64" spans="1:12" ht="75">
      <c r="A64" s="101" t="s">
        <v>3590</v>
      </c>
      <c r="B64" s="102" t="s">
        <v>3591</v>
      </c>
      <c r="C64" s="102" t="s">
        <v>3592</v>
      </c>
      <c r="D64" s="102" t="s">
        <v>3593</v>
      </c>
      <c r="E64" s="102" t="s">
        <v>3594</v>
      </c>
      <c r="F64" s="102" t="s">
        <v>3595</v>
      </c>
      <c r="G64" s="102" t="s">
        <v>3596</v>
      </c>
      <c r="H64" s="102" t="s">
        <v>3597</v>
      </c>
      <c r="I64" s="102" t="s">
        <v>51</v>
      </c>
      <c r="J64" s="134" t="s">
        <v>45</v>
      </c>
      <c r="K64" s="123"/>
      <c r="L64" s="97"/>
    </row>
    <row r="65" spans="1:12" ht="75">
      <c r="A65" s="101" t="s">
        <v>3590</v>
      </c>
      <c r="B65" s="102" t="s">
        <v>3598</v>
      </c>
      <c r="C65" s="102" t="s">
        <v>3599</v>
      </c>
      <c r="D65" s="102" t="s">
        <v>3600</v>
      </c>
      <c r="E65" s="102" t="s">
        <v>3601</v>
      </c>
      <c r="F65" s="102" t="s">
        <v>3602</v>
      </c>
      <c r="G65" s="102" t="s">
        <v>3603</v>
      </c>
      <c r="H65" s="102" t="s">
        <v>3604</v>
      </c>
      <c r="I65" s="102" t="s">
        <v>51</v>
      </c>
      <c r="J65" s="134" t="s">
        <v>45</v>
      </c>
      <c r="K65" s="123"/>
      <c r="L65" s="97"/>
    </row>
    <row r="66" spans="1:12" ht="60">
      <c r="A66" s="101" t="s">
        <v>3590</v>
      </c>
      <c r="B66" s="102" t="s">
        <v>3605</v>
      </c>
      <c r="C66" s="102" t="s">
        <v>3606</v>
      </c>
      <c r="D66" s="102" t="s">
        <v>3607</v>
      </c>
      <c r="E66" s="102" t="s">
        <v>3608</v>
      </c>
      <c r="F66" s="102" t="s">
        <v>3609</v>
      </c>
      <c r="G66" s="102" t="s">
        <v>3610</v>
      </c>
      <c r="H66" s="102" t="s">
        <v>3611</v>
      </c>
      <c r="I66" s="102" t="s">
        <v>51</v>
      </c>
      <c r="J66" s="134" t="s">
        <v>45</v>
      </c>
      <c r="K66" s="123"/>
      <c r="L66" s="97"/>
    </row>
    <row r="67" spans="1:12" ht="105">
      <c r="A67" s="101" t="s">
        <v>3590</v>
      </c>
      <c r="B67" s="102" t="s">
        <v>3612</v>
      </c>
      <c r="C67" s="102" t="s">
        <v>3613</v>
      </c>
      <c r="D67" s="102" t="s">
        <v>3614</v>
      </c>
      <c r="E67" s="102" t="s">
        <v>3615</v>
      </c>
      <c r="F67" s="102" t="s">
        <v>3616</v>
      </c>
      <c r="G67" s="102" t="s">
        <v>3617</v>
      </c>
      <c r="H67" s="102" t="s">
        <v>3618</v>
      </c>
      <c r="I67" s="102" t="s">
        <v>51</v>
      </c>
      <c r="J67" s="134" t="s">
        <v>45</v>
      </c>
      <c r="K67" s="123"/>
      <c r="L67" s="97"/>
    </row>
    <row r="68" spans="1:12" ht="195">
      <c r="A68" s="101" t="s">
        <v>3619</v>
      </c>
      <c r="B68" s="102" t="s">
        <v>3620</v>
      </c>
      <c r="C68" s="102" t="s">
        <v>3621</v>
      </c>
      <c r="D68" s="102" t="s">
        <v>3622</v>
      </c>
      <c r="E68" s="102" t="s">
        <v>3623</v>
      </c>
      <c r="F68" s="102" t="s">
        <v>3624</v>
      </c>
      <c r="G68" s="102" t="s">
        <v>3625</v>
      </c>
      <c r="H68" s="102" t="s">
        <v>3626</v>
      </c>
      <c r="I68" s="102" t="s">
        <v>1838</v>
      </c>
      <c r="J68" s="134" t="s">
        <v>45</v>
      </c>
      <c r="K68" s="123"/>
      <c r="L68" s="97"/>
    </row>
    <row r="69" spans="1:12" ht="90">
      <c r="A69" s="101" t="s">
        <v>3627</v>
      </c>
      <c r="B69" s="102" t="s">
        <v>3628</v>
      </c>
      <c r="C69" s="102" t="s">
        <v>3629</v>
      </c>
      <c r="D69" s="102" t="s">
        <v>3630</v>
      </c>
      <c r="E69" s="102" t="s">
        <v>3274</v>
      </c>
      <c r="F69" s="102" t="s">
        <v>3631</v>
      </c>
      <c r="G69" s="102" t="s">
        <v>3632</v>
      </c>
      <c r="H69" s="102" t="s">
        <v>3633</v>
      </c>
      <c r="I69" s="102" t="s">
        <v>44</v>
      </c>
      <c r="J69" s="134" t="s">
        <v>45</v>
      </c>
      <c r="K69" s="123"/>
      <c r="L69" s="16"/>
    </row>
    <row r="70" spans="1:12" ht="150">
      <c r="A70" s="101" t="s">
        <v>3627</v>
      </c>
      <c r="B70" s="102" t="s">
        <v>3628</v>
      </c>
      <c r="C70" s="102" t="s">
        <v>3634</v>
      </c>
      <c r="D70" s="102" t="s">
        <v>3635</v>
      </c>
      <c r="E70" s="102" t="s">
        <v>3636</v>
      </c>
      <c r="F70" s="102" t="s">
        <v>3637</v>
      </c>
      <c r="G70" s="102" t="s">
        <v>3638</v>
      </c>
      <c r="H70" s="102" t="s">
        <v>3639</v>
      </c>
      <c r="I70" s="102" t="s">
        <v>51</v>
      </c>
      <c r="J70" s="134" t="s">
        <v>45</v>
      </c>
      <c r="K70" s="123"/>
      <c r="L70" s="16"/>
    </row>
    <row r="71" spans="1:12" ht="90">
      <c r="A71" s="101" t="s">
        <v>3627</v>
      </c>
      <c r="B71" s="102" t="s">
        <v>3628</v>
      </c>
      <c r="C71" s="102" t="s">
        <v>3640</v>
      </c>
      <c r="D71" s="102" t="s">
        <v>3641</v>
      </c>
      <c r="E71" s="102" t="s">
        <v>3642</v>
      </c>
      <c r="F71" s="102" t="s">
        <v>3643</v>
      </c>
      <c r="G71" s="102" t="s">
        <v>3644</v>
      </c>
      <c r="H71" s="102" t="s">
        <v>3645</v>
      </c>
      <c r="I71" s="102" t="s">
        <v>51</v>
      </c>
      <c r="J71" s="134" t="s">
        <v>45</v>
      </c>
      <c r="K71" s="123"/>
      <c r="L71" s="16"/>
    </row>
  </sheetData>
  <mergeCells count="8">
    <mergeCell ref="B7:D7"/>
    <mergeCell ref="A8:A9"/>
    <mergeCell ref="B1:D1"/>
    <mergeCell ref="B2:D2"/>
    <mergeCell ref="B3:D3"/>
    <mergeCell ref="B4:D4"/>
    <mergeCell ref="B5:D5"/>
    <mergeCell ref="B6:D6"/>
  </mergeCells>
  <conditionalFormatting sqref="J2:J9 J72:J1048576">
    <cfRule type="containsText" dxfId="6" priority="5" operator="containsText" text="FAIL">
      <formula>NOT(ISERROR(SEARCH("FAIL",J2)))</formula>
    </cfRule>
    <cfRule type="containsText" dxfId="5" priority="6" operator="containsText" text="PASS">
      <formula>NOT(ISERROR(SEARCH("PASS",J2)))</formula>
    </cfRule>
  </conditionalFormatting>
  <dataValidations count="1">
    <dataValidation type="list" allowBlank="1" showInputMessage="1" showErrorMessage="1" sqref="J1:J10 J72:J1048576" xr:uid="{FDD6CFC4-8E3F-4EDC-A316-A9F06409833A}">
      <formula1>"PASS, FAIL"</formula1>
    </dataValidation>
  </dataValidations>
  <hyperlinks>
    <hyperlink ref="B2" r:id="rId1" xr:uid="{C62B8AC0-B1AA-4AA0-A708-B34ECBFE890F}"/>
    <hyperlink ref="B3" r:id="rId2" xr:uid="{64E2A512-EE84-4522-9024-42D8AFD28E0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299E-40FE-42A8-9BE6-C1460688ADA5}">
  <sheetPr>
    <tabColor rgb="FFFFFF00"/>
  </sheetPr>
  <dimension ref="A1:K185"/>
  <sheetViews>
    <sheetView tabSelected="1" topLeftCell="B1" workbookViewId="0">
      <selection activeCell="F15" sqref="F15"/>
    </sheetView>
  </sheetViews>
  <sheetFormatPr defaultColWidth="8.85546875" defaultRowHeight="15"/>
  <cols>
    <col min="1" max="1" width="26.28515625" customWidth="1"/>
    <col min="2" max="2" width="31.85546875" customWidth="1"/>
    <col min="3" max="3" width="31.28515625" customWidth="1"/>
    <col min="4" max="4" width="39.42578125" customWidth="1"/>
    <col min="5" max="5" width="49.140625" customWidth="1"/>
    <col min="6" max="6" width="53.42578125" customWidth="1"/>
    <col min="7" max="7" width="47.7109375" style="74" customWidth="1"/>
    <col min="8" max="8" width="19.140625" style="30" customWidth="1"/>
    <col min="9" max="9" width="35" customWidth="1"/>
    <col min="10" max="10" width="27.7109375" customWidth="1"/>
    <col min="11" max="11" width="28" customWidth="1"/>
  </cols>
  <sheetData>
    <row r="1" spans="1:11" ht="18">
      <c r="A1" s="138" t="s">
        <v>439</v>
      </c>
      <c r="B1" s="171" t="s">
        <v>3646</v>
      </c>
      <c r="C1" s="171"/>
      <c r="D1" s="171"/>
      <c r="E1" s="171"/>
      <c r="F1" s="171"/>
      <c r="G1" s="137"/>
      <c r="H1" s="14" t="s">
        <v>2</v>
      </c>
      <c r="I1" s="14" t="s">
        <v>3</v>
      </c>
      <c r="J1" s="14" t="s">
        <v>4</v>
      </c>
      <c r="K1" s="14" t="s">
        <v>5</v>
      </c>
    </row>
    <row r="2" spans="1:11" ht="15.95">
      <c r="A2" s="139" t="s">
        <v>441</v>
      </c>
      <c r="B2" s="172" t="s">
        <v>3647</v>
      </c>
      <c r="C2" s="172"/>
      <c r="D2" s="172"/>
      <c r="E2" s="172"/>
      <c r="F2" s="172"/>
      <c r="G2" s="137"/>
      <c r="H2" s="99" t="s">
        <v>3260</v>
      </c>
      <c r="I2" s="140">
        <v>45727</v>
      </c>
      <c r="J2" s="141" t="s">
        <v>15</v>
      </c>
      <c r="K2" s="72" t="s">
        <v>3648</v>
      </c>
    </row>
    <row r="3" spans="1:11" ht="39.75" customHeight="1">
      <c r="A3" s="139" t="s">
        <v>445</v>
      </c>
      <c r="B3" s="171"/>
      <c r="C3" s="171"/>
      <c r="D3" s="171"/>
      <c r="E3" s="171"/>
      <c r="F3" s="171"/>
      <c r="G3" s="137"/>
      <c r="H3" s="99" t="s">
        <v>3260</v>
      </c>
      <c r="I3" s="140">
        <v>46120</v>
      </c>
      <c r="J3" s="141" t="s">
        <v>15</v>
      </c>
      <c r="K3" s="72" t="s">
        <v>3649</v>
      </c>
    </row>
    <row r="4" spans="1:11" ht="48" customHeight="1">
      <c r="A4" s="139" t="s">
        <v>448</v>
      </c>
      <c r="B4" s="171" t="s">
        <v>1759</v>
      </c>
      <c r="C4" s="171"/>
      <c r="D4" s="171"/>
      <c r="E4" s="171"/>
      <c r="F4" s="171"/>
      <c r="G4" s="137"/>
      <c r="H4" s="99" t="s">
        <v>3260</v>
      </c>
      <c r="I4" s="140">
        <v>46259</v>
      </c>
      <c r="J4" s="141" t="s">
        <v>15</v>
      </c>
      <c r="K4" s="72" t="s">
        <v>3650</v>
      </c>
    </row>
    <row r="5" spans="1:11" ht="32.1">
      <c r="A5" s="139" t="s">
        <v>450</v>
      </c>
      <c r="B5" s="171"/>
      <c r="C5" s="171"/>
      <c r="D5" s="171"/>
      <c r="E5" s="171"/>
      <c r="F5" s="171"/>
      <c r="G5" s="137"/>
      <c r="H5" s="150"/>
      <c r="I5" s="159">
        <v>46090</v>
      </c>
      <c r="J5" s="141" t="s">
        <v>15</v>
      </c>
      <c r="K5" s="72" t="s">
        <v>3651</v>
      </c>
    </row>
    <row r="6" spans="1:11" ht="32.1">
      <c r="A6" s="139" t="s">
        <v>451</v>
      </c>
      <c r="B6" s="171" t="s">
        <v>3652</v>
      </c>
      <c r="C6" s="171"/>
      <c r="D6" s="171"/>
      <c r="E6" s="171"/>
      <c r="F6" s="171"/>
      <c r="G6" s="137"/>
      <c r="H6" s="150"/>
      <c r="I6" s="159">
        <v>46272</v>
      </c>
      <c r="J6" s="141" t="s">
        <v>15</v>
      </c>
      <c r="K6" s="72" t="s">
        <v>3651</v>
      </c>
    </row>
    <row r="7" spans="1:11" ht="15.95">
      <c r="A7" s="139" t="s">
        <v>452</v>
      </c>
      <c r="B7" s="171" t="s">
        <v>3653</v>
      </c>
      <c r="C7" s="171"/>
      <c r="D7" s="171"/>
      <c r="E7" s="171"/>
      <c r="F7" s="171"/>
      <c r="G7" s="137"/>
      <c r="H7" s="150"/>
      <c r="I7" s="137"/>
      <c r="J7" s="137"/>
      <c r="K7" s="137"/>
    </row>
    <row r="8" spans="1:11" ht="15.95">
      <c r="A8" s="148" t="s">
        <v>3654</v>
      </c>
      <c r="B8" s="149" t="s">
        <v>3655</v>
      </c>
      <c r="C8" s="149" t="s">
        <v>22</v>
      </c>
      <c r="D8" s="149" t="s">
        <v>23</v>
      </c>
      <c r="E8" s="149" t="s">
        <v>3656</v>
      </c>
      <c r="F8" s="149" t="s">
        <v>3657</v>
      </c>
      <c r="G8" s="137"/>
      <c r="H8" s="166"/>
      <c r="I8" s="137"/>
      <c r="J8" s="137"/>
      <c r="K8" s="137"/>
    </row>
    <row r="9" spans="1:11">
      <c r="A9" s="137"/>
      <c r="B9" s="151">
        <v>162</v>
      </c>
      <c r="C9" s="152">
        <v>150</v>
      </c>
      <c r="D9" s="153">
        <v>2</v>
      </c>
      <c r="E9" s="154">
        <v>10</v>
      </c>
      <c r="F9" s="155">
        <v>0</v>
      </c>
      <c r="G9" s="137"/>
      <c r="H9" s="166"/>
      <c r="I9" s="137"/>
      <c r="J9" s="137"/>
      <c r="K9" s="137"/>
    </row>
    <row r="10" spans="1:11">
      <c r="A10" s="137"/>
      <c r="B10" s="137"/>
      <c r="C10" s="137"/>
      <c r="D10" s="137"/>
      <c r="E10" s="137"/>
      <c r="F10" s="137"/>
      <c r="G10" s="137"/>
      <c r="H10" s="166"/>
      <c r="I10" s="137"/>
      <c r="J10" s="137"/>
      <c r="K10" s="137"/>
    </row>
    <row r="11" spans="1:11" s="74" customFormat="1" ht="30">
      <c r="A11" s="170" t="s">
        <v>3658</v>
      </c>
      <c r="B11" s="167" t="s">
        <v>3659</v>
      </c>
      <c r="C11" s="167" t="s">
        <v>3660</v>
      </c>
      <c r="D11" s="167" t="s">
        <v>3661</v>
      </c>
      <c r="E11" s="167" t="s">
        <v>3662</v>
      </c>
      <c r="F11" s="167" t="s">
        <v>3663</v>
      </c>
      <c r="G11" s="167" t="s">
        <v>3664</v>
      </c>
      <c r="H11" s="167" t="s">
        <v>3665</v>
      </c>
      <c r="I11" s="167" t="s">
        <v>3666</v>
      </c>
      <c r="J11" s="167" t="s">
        <v>1762</v>
      </c>
      <c r="K11" s="167" t="s">
        <v>3667</v>
      </c>
    </row>
    <row r="12" spans="1:11" ht="84.75" customHeight="1">
      <c r="A12" s="164" t="s">
        <v>3668</v>
      </c>
      <c r="B12" s="162" t="s">
        <v>3669</v>
      </c>
      <c r="C12" s="162" t="s">
        <v>3670</v>
      </c>
      <c r="D12" s="162" t="s">
        <v>3671</v>
      </c>
      <c r="E12" s="162" t="s">
        <v>3672</v>
      </c>
      <c r="F12" s="162" t="s">
        <v>3673</v>
      </c>
      <c r="G12" s="162" t="s">
        <v>3673</v>
      </c>
      <c r="H12" s="168" t="s">
        <v>45</v>
      </c>
      <c r="I12" s="162" t="s">
        <v>43</v>
      </c>
      <c r="J12" s="162"/>
      <c r="K12" s="162" t="s">
        <v>43</v>
      </c>
    </row>
    <row r="13" spans="1:11" ht="60">
      <c r="A13" s="164" t="s">
        <v>3668</v>
      </c>
      <c r="B13" s="162" t="s">
        <v>3674</v>
      </c>
      <c r="C13" s="162" t="s">
        <v>3675</v>
      </c>
      <c r="D13" s="162" t="s">
        <v>3671</v>
      </c>
      <c r="E13" s="162" t="s">
        <v>3676</v>
      </c>
      <c r="F13" s="162" t="s">
        <v>3677</v>
      </c>
      <c r="G13" s="162" t="s">
        <v>3677</v>
      </c>
      <c r="H13" s="168" t="s">
        <v>45</v>
      </c>
      <c r="I13" s="162" t="s">
        <v>43</v>
      </c>
      <c r="J13" s="162" t="s">
        <v>43</v>
      </c>
      <c r="K13" s="162" t="s">
        <v>43</v>
      </c>
    </row>
    <row r="14" spans="1:11" s="142" customFormat="1" ht="72" customHeight="1">
      <c r="A14" s="164" t="s">
        <v>3668</v>
      </c>
      <c r="B14" s="162" t="s">
        <v>3678</v>
      </c>
      <c r="C14" s="162" t="s">
        <v>3679</v>
      </c>
      <c r="D14" s="162" t="s">
        <v>3671</v>
      </c>
      <c r="E14" s="162" t="s">
        <v>3680</v>
      </c>
      <c r="F14" s="162" t="s">
        <v>3681</v>
      </c>
      <c r="G14" s="162" t="s">
        <v>3681</v>
      </c>
      <c r="H14" s="168" t="s">
        <v>45</v>
      </c>
      <c r="I14" s="162" t="s">
        <v>43</v>
      </c>
      <c r="J14" s="163"/>
      <c r="K14" s="163" t="s">
        <v>43</v>
      </c>
    </row>
    <row r="15" spans="1:11" ht="120">
      <c r="A15" s="164" t="s">
        <v>3668</v>
      </c>
      <c r="B15" s="162" t="s">
        <v>3682</v>
      </c>
      <c r="C15" s="162" t="s">
        <v>3683</v>
      </c>
      <c r="D15" s="162" t="s">
        <v>3671</v>
      </c>
      <c r="E15" s="162" t="s">
        <v>3684</v>
      </c>
      <c r="F15" s="162" t="s">
        <v>3685</v>
      </c>
      <c r="G15" s="162" t="s">
        <v>3685</v>
      </c>
      <c r="H15" s="168" t="s">
        <v>45</v>
      </c>
      <c r="I15" s="162" t="s">
        <v>43</v>
      </c>
      <c r="J15" s="162"/>
      <c r="K15" s="162" t="s">
        <v>43</v>
      </c>
    </row>
    <row r="16" spans="1:11" ht="120">
      <c r="A16" s="164" t="s">
        <v>3686</v>
      </c>
      <c r="B16" s="162" t="s">
        <v>3687</v>
      </c>
      <c r="C16" s="162" t="s">
        <v>3688</v>
      </c>
      <c r="D16" s="162" t="s">
        <v>3689</v>
      </c>
      <c r="E16" s="162" t="s">
        <v>3690</v>
      </c>
      <c r="F16" s="162" t="s">
        <v>3691</v>
      </c>
      <c r="G16" s="162" t="s">
        <v>3691</v>
      </c>
      <c r="H16" s="168" t="s">
        <v>45</v>
      </c>
      <c r="I16" s="162" t="s">
        <v>43</v>
      </c>
      <c r="J16" s="162"/>
      <c r="K16" s="162" t="s">
        <v>43</v>
      </c>
    </row>
    <row r="17" spans="1:11" ht="135">
      <c r="A17" s="164" t="s">
        <v>3686</v>
      </c>
      <c r="B17" s="162" t="s">
        <v>3692</v>
      </c>
      <c r="C17" s="162" t="s">
        <v>3693</v>
      </c>
      <c r="D17" s="162" t="s">
        <v>3689</v>
      </c>
      <c r="E17" s="162" t="s">
        <v>3694</v>
      </c>
      <c r="F17" s="162" t="s">
        <v>3695</v>
      </c>
      <c r="G17" s="162" t="s">
        <v>3695</v>
      </c>
      <c r="H17" s="168" t="s">
        <v>45</v>
      </c>
      <c r="I17" s="162" t="s">
        <v>43</v>
      </c>
      <c r="J17" s="162"/>
      <c r="K17" s="162" t="s">
        <v>43</v>
      </c>
    </row>
    <row r="18" spans="1:11" ht="105">
      <c r="A18" s="164" t="s">
        <v>3686</v>
      </c>
      <c r="B18" s="162" t="s">
        <v>3696</v>
      </c>
      <c r="C18" s="162" t="s">
        <v>3697</v>
      </c>
      <c r="D18" s="162" t="s">
        <v>3689</v>
      </c>
      <c r="E18" s="162" t="s">
        <v>3698</v>
      </c>
      <c r="F18" s="162" t="s">
        <v>3699</v>
      </c>
      <c r="G18" s="162" t="s">
        <v>3699</v>
      </c>
      <c r="H18" s="168" t="s">
        <v>45</v>
      </c>
      <c r="I18" s="162" t="s">
        <v>43</v>
      </c>
      <c r="J18" s="162"/>
      <c r="K18" s="162" t="s">
        <v>43</v>
      </c>
    </row>
    <row r="19" spans="1:11" ht="90">
      <c r="A19" s="164" t="s">
        <v>3686</v>
      </c>
      <c r="B19" s="162" t="s">
        <v>3700</v>
      </c>
      <c r="C19" s="162" t="s">
        <v>3701</v>
      </c>
      <c r="D19" s="162" t="s">
        <v>3689</v>
      </c>
      <c r="E19" s="162" t="s">
        <v>3702</v>
      </c>
      <c r="F19" s="162" t="s">
        <v>3703</v>
      </c>
      <c r="G19" s="162" t="s">
        <v>3703</v>
      </c>
      <c r="H19" s="168" t="s">
        <v>45</v>
      </c>
      <c r="I19" s="162" t="s">
        <v>43</v>
      </c>
      <c r="J19" s="162"/>
      <c r="K19" s="162" t="s">
        <v>43</v>
      </c>
    </row>
    <row r="20" spans="1:11" ht="90">
      <c r="A20" s="164" t="s">
        <v>3704</v>
      </c>
      <c r="B20" s="162" t="s">
        <v>3705</v>
      </c>
      <c r="C20" s="162" t="s">
        <v>3706</v>
      </c>
      <c r="D20" s="162" t="s">
        <v>3707</v>
      </c>
      <c r="E20" s="162" t="s">
        <v>3708</v>
      </c>
      <c r="F20" s="162" t="s">
        <v>3709</v>
      </c>
      <c r="G20" s="162" t="s">
        <v>3709</v>
      </c>
      <c r="H20" s="168" t="s">
        <v>45</v>
      </c>
      <c r="I20" s="162" t="s">
        <v>43</v>
      </c>
      <c r="J20" s="162"/>
      <c r="K20" s="162" t="s">
        <v>43</v>
      </c>
    </row>
    <row r="21" spans="1:11" ht="90">
      <c r="A21" s="164" t="s">
        <v>3704</v>
      </c>
      <c r="B21" s="162" t="s">
        <v>3710</v>
      </c>
      <c r="C21" s="162" t="s">
        <v>3711</v>
      </c>
      <c r="D21" s="162" t="s">
        <v>3707</v>
      </c>
      <c r="E21" s="162" t="s">
        <v>3712</v>
      </c>
      <c r="F21" s="162" t="s">
        <v>3713</v>
      </c>
      <c r="G21" s="162" t="s">
        <v>3713</v>
      </c>
      <c r="H21" s="168" t="s">
        <v>45</v>
      </c>
      <c r="I21" s="162" t="s">
        <v>43</v>
      </c>
      <c r="J21" s="162"/>
      <c r="K21" s="162" t="s">
        <v>43</v>
      </c>
    </row>
    <row r="22" spans="1:11" ht="75">
      <c r="A22" s="164" t="s">
        <v>3704</v>
      </c>
      <c r="B22" s="162" t="s">
        <v>3714</v>
      </c>
      <c r="C22" s="162" t="s">
        <v>3715</v>
      </c>
      <c r="D22" s="162" t="s">
        <v>3707</v>
      </c>
      <c r="E22" s="162" t="s">
        <v>3716</v>
      </c>
      <c r="F22" s="162" t="s">
        <v>3717</v>
      </c>
      <c r="G22" s="162" t="s">
        <v>3717</v>
      </c>
      <c r="H22" s="168" t="s">
        <v>45</v>
      </c>
      <c r="I22" s="162" t="s">
        <v>43</v>
      </c>
      <c r="J22" s="162"/>
      <c r="K22" s="162" t="s">
        <v>43</v>
      </c>
    </row>
    <row r="23" spans="1:11" ht="75">
      <c r="A23" s="164" t="s">
        <v>3704</v>
      </c>
      <c r="B23" s="162" t="s">
        <v>3718</v>
      </c>
      <c r="C23" s="162" t="s">
        <v>3719</v>
      </c>
      <c r="D23" s="162" t="s">
        <v>3707</v>
      </c>
      <c r="E23" s="162" t="s">
        <v>3720</v>
      </c>
      <c r="F23" s="162" t="s">
        <v>3721</v>
      </c>
      <c r="G23" s="162" t="s">
        <v>3721</v>
      </c>
      <c r="H23" s="168" t="s">
        <v>45</v>
      </c>
      <c r="I23" s="162" t="s">
        <v>3722</v>
      </c>
      <c r="J23" s="162"/>
      <c r="K23" s="162" t="s">
        <v>43</v>
      </c>
    </row>
    <row r="24" spans="1:11" ht="90">
      <c r="A24" s="164" t="s">
        <v>3704</v>
      </c>
      <c r="B24" s="162" t="s">
        <v>3723</v>
      </c>
      <c r="C24" s="162" t="s">
        <v>3724</v>
      </c>
      <c r="D24" s="162" t="s">
        <v>3707</v>
      </c>
      <c r="E24" s="162" t="s">
        <v>3725</v>
      </c>
      <c r="F24" s="162" t="s">
        <v>3726</v>
      </c>
      <c r="G24" s="162" t="s">
        <v>3726</v>
      </c>
      <c r="H24" s="168" t="s">
        <v>45</v>
      </c>
      <c r="I24" s="162" t="s">
        <v>43</v>
      </c>
      <c r="J24" s="162"/>
      <c r="K24" s="162" t="s">
        <v>43</v>
      </c>
    </row>
    <row r="25" spans="1:11" ht="75">
      <c r="A25" s="164" t="s">
        <v>3727</v>
      </c>
      <c r="B25" s="162" t="s">
        <v>3728</v>
      </c>
      <c r="C25" s="162" t="s">
        <v>3729</v>
      </c>
      <c r="D25" s="162" t="s">
        <v>3671</v>
      </c>
      <c r="E25" s="162" t="s">
        <v>3730</v>
      </c>
      <c r="F25" s="162" t="s">
        <v>3731</v>
      </c>
      <c r="G25" s="162" t="s">
        <v>3731</v>
      </c>
      <c r="H25" s="168" t="s">
        <v>45</v>
      </c>
      <c r="I25" s="162" t="s">
        <v>43</v>
      </c>
      <c r="J25" s="162"/>
      <c r="K25" s="162" t="s">
        <v>43</v>
      </c>
    </row>
    <row r="26" spans="1:11" ht="60">
      <c r="A26" s="164" t="s">
        <v>3727</v>
      </c>
      <c r="B26" s="162" t="s">
        <v>3732</v>
      </c>
      <c r="C26" s="162" t="s">
        <v>3733</v>
      </c>
      <c r="D26" s="162" t="s">
        <v>3671</v>
      </c>
      <c r="E26" s="162" t="s">
        <v>3734</v>
      </c>
      <c r="F26" s="162" t="s">
        <v>3735</v>
      </c>
      <c r="G26" s="162" t="s">
        <v>3735</v>
      </c>
      <c r="H26" s="168" t="s">
        <v>45</v>
      </c>
      <c r="I26" s="162" t="s">
        <v>3736</v>
      </c>
      <c r="J26" s="162"/>
      <c r="K26" s="162" t="s">
        <v>43</v>
      </c>
    </row>
    <row r="27" spans="1:11" ht="75">
      <c r="A27" s="164" t="s">
        <v>3727</v>
      </c>
      <c r="B27" s="162" t="s">
        <v>3737</v>
      </c>
      <c r="C27" s="162" t="s">
        <v>3738</v>
      </c>
      <c r="D27" s="162" t="s">
        <v>3671</v>
      </c>
      <c r="E27" s="162" t="s">
        <v>3739</v>
      </c>
      <c r="F27" s="162" t="s">
        <v>3740</v>
      </c>
      <c r="G27" s="162" t="s">
        <v>3740</v>
      </c>
      <c r="H27" s="168" t="s">
        <v>45</v>
      </c>
      <c r="I27" s="162" t="s">
        <v>43</v>
      </c>
      <c r="J27" s="162"/>
      <c r="K27" s="162" t="s">
        <v>43</v>
      </c>
    </row>
    <row r="28" spans="1:11" ht="60">
      <c r="A28" s="164" t="s">
        <v>3741</v>
      </c>
      <c r="B28" s="162" t="s">
        <v>3742</v>
      </c>
      <c r="C28" s="162" t="s">
        <v>3743</v>
      </c>
      <c r="D28" s="162" t="s">
        <v>3671</v>
      </c>
      <c r="E28" s="162" t="s">
        <v>3744</v>
      </c>
      <c r="F28" s="162" t="s">
        <v>3745</v>
      </c>
      <c r="G28" s="162" t="s">
        <v>3745</v>
      </c>
      <c r="H28" s="168" t="s">
        <v>45</v>
      </c>
      <c r="I28" s="162" t="s">
        <v>43</v>
      </c>
      <c r="J28" s="162"/>
      <c r="K28" s="162" t="s">
        <v>43</v>
      </c>
    </row>
    <row r="29" spans="1:11" ht="120">
      <c r="A29" s="164" t="s">
        <v>3741</v>
      </c>
      <c r="B29" s="162" t="s">
        <v>3746</v>
      </c>
      <c r="C29" s="162" t="s">
        <v>3747</v>
      </c>
      <c r="D29" s="162" t="s">
        <v>3671</v>
      </c>
      <c r="E29" s="162" t="s">
        <v>3748</v>
      </c>
      <c r="F29" s="162" t="s">
        <v>3749</v>
      </c>
      <c r="G29" s="162" t="s">
        <v>3749</v>
      </c>
      <c r="H29" s="168" t="s">
        <v>45</v>
      </c>
      <c r="I29" s="162" t="s">
        <v>43</v>
      </c>
      <c r="J29" s="162"/>
      <c r="K29" s="162" t="s">
        <v>43</v>
      </c>
    </row>
    <row r="30" spans="1:11" ht="75">
      <c r="A30" s="164" t="s">
        <v>3741</v>
      </c>
      <c r="B30" s="162" t="s">
        <v>3750</v>
      </c>
      <c r="C30" s="162" t="s">
        <v>3751</v>
      </c>
      <c r="D30" s="162" t="s">
        <v>3671</v>
      </c>
      <c r="E30" s="162" t="s">
        <v>3752</v>
      </c>
      <c r="F30" s="162" t="s">
        <v>3753</v>
      </c>
      <c r="G30" s="162" t="s">
        <v>3754</v>
      </c>
      <c r="H30" s="168" t="s">
        <v>45</v>
      </c>
      <c r="I30" s="162" t="s">
        <v>3755</v>
      </c>
      <c r="J30" s="162"/>
      <c r="K30" s="162" t="s">
        <v>43</v>
      </c>
    </row>
    <row r="31" spans="1:11" ht="75">
      <c r="A31" s="164" t="s">
        <v>3756</v>
      </c>
      <c r="B31" s="162" t="s">
        <v>3757</v>
      </c>
      <c r="C31" s="162" t="s">
        <v>3758</v>
      </c>
      <c r="D31" s="162" t="s">
        <v>3671</v>
      </c>
      <c r="E31" s="162" t="s">
        <v>3759</v>
      </c>
      <c r="F31" s="162" t="s">
        <v>3760</v>
      </c>
      <c r="G31" s="162" t="s">
        <v>3760</v>
      </c>
      <c r="H31" s="168" t="s">
        <v>45</v>
      </c>
      <c r="I31" s="162" t="s">
        <v>43</v>
      </c>
      <c r="J31" s="162"/>
      <c r="K31" s="162" t="s">
        <v>43</v>
      </c>
    </row>
    <row r="32" spans="1:11" ht="120">
      <c r="A32" s="164" t="s">
        <v>3756</v>
      </c>
      <c r="B32" s="162" t="s">
        <v>3761</v>
      </c>
      <c r="C32" s="162" t="s">
        <v>3762</v>
      </c>
      <c r="D32" s="162" t="s">
        <v>3671</v>
      </c>
      <c r="E32" s="162" t="s">
        <v>3763</v>
      </c>
      <c r="F32" s="162" t="s">
        <v>3764</v>
      </c>
      <c r="G32" s="162" t="s">
        <v>3765</v>
      </c>
      <c r="H32" s="168" t="s">
        <v>45</v>
      </c>
      <c r="I32" s="162" t="s">
        <v>43</v>
      </c>
      <c r="J32" s="162"/>
      <c r="K32" s="162" t="s">
        <v>43</v>
      </c>
    </row>
    <row r="33" spans="1:11" ht="150">
      <c r="A33" s="164" t="s">
        <v>3756</v>
      </c>
      <c r="B33" s="162" t="s">
        <v>3766</v>
      </c>
      <c r="C33" s="162" t="s">
        <v>3767</v>
      </c>
      <c r="D33" s="162" t="s">
        <v>3671</v>
      </c>
      <c r="E33" s="162" t="s">
        <v>3768</v>
      </c>
      <c r="F33" s="162" t="s">
        <v>3769</v>
      </c>
      <c r="G33" s="162" t="s">
        <v>3769</v>
      </c>
      <c r="H33" s="168" t="s">
        <v>45</v>
      </c>
      <c r="I33" s="162" t="s">
        <v>43</v>
      </c>
      <c r="J33" s="162"/>
      <c r="K33" s="162" t="s">
        <v>43</v>
      </c>
    </row>
    <row r="34" spans="1:11" ht="75">
      <c r="A34" s="164" t="s">
        <v>3770</v>
      </c>
      <c r="B34" s="162" t="s">
        <v>3771</v>
      </c>
      <c r="C34" s="162" t="s">
        <v>3772</v>
      </c>
      <c r="D34" s="162" t="s">
        <v>3671</v>
      </c>
      <c r="E34" s="162" t="s">
        <v>3773</v>
      </c>
      <c r="F34" s="162" t="s">
        <v>3774</v>
      </c>
      <c r="G34" s="162" t="s">
        <v>3774</v>
      </c>
      <c r="H34" s="168" t="s">
        <v>45</v>
      </c>
      <c r="I34" s="162" t="s">
        <v>43</v>
      </c>
      <c r="J34" s="162"/>
      <c r="K34" s="162" t="s">
        <v>43</v>
      </c>
    </row>
    <row r="35" spans="1:11" ht="90">
      <c r="A35" s="164" t="s">
        <v>3770</v>
      </c>
      <c r="B35" s="162" t="s">
        <v>3775</v>
      </c>
      <c r="C35" s="162" t="s">
        <v>3776</v>
      </c>
      <c r="D35" s="162" t="s">
        <v>3671</v>
      </c>
      <c r="E35" s="162" t="s">
        <v>3777</v>
      </c>
      <c r="F35" s="162" t="s">
        <v>3778</v>
      </c>
      <c r="G35" s="162" t="s">
        <v>3778</v>
      </c>
      <c r="H35" s="168" t="s">
        <v>45</v>
      </c>
      <c r="I35" s="162" t="s">
        <v>43</v>
      </c>
      <c r="J35" s="162" t="s">
        <v>43</v>
      </c>
      <c r="K35" s="162" t="s">
        <v>43</v>
      </c>
    </row>
    <row r="36" spans="1:11" ht="60">
      <c r="A36" s="164" t="s">
        <v>3770</v>
      </c>
      <c r="B36" s="162" t="s">
        <v>3779</v>
      </c>
      <c r="C36" s="162" t="s">
        <v>3780</v>
      </c>
      <c r="D36" s="162" t="s">
        <v>3671</v>
      </c>
      <c r="E36" s="162" t="s">
        <v>3781</v>
      </c>
      <c r="F36" s="162" t="s">
        <v>3782</v>
      </c>
      <c r="G36" s="162" t="s">
        <v>3782</v>
      </c>
      <c r="H36" s="168" t="s">
        <v>45</v>
      </c>
      <c r="I36" s="162" t="s">
        <v>43</v>
      </c>
      <c r="J36" s="162" t="s">
        <v>43</v>
      </c>
      <c r="K36" s="162" t="s">
        <v>43</v>
      </c>
    </row>
    <row r="37" spans="1:11" ht="75">
      <c r="A37" s="164" t="s">
        <v>3783</v>
      </c>
      <c r="B37" s="162" t="s">
        <v>3784</v>
      </c>
      <c r="C37" s="162" t="s">
        <v>3785</v>
      </c>
      <c r="D37" s="162" t="s">
        <v>3671</v>
      </c>
      <c r="E37" s="162" t="s">
        <v>3786</v>
      </c>
      <c r="F37" s="162" t="s">
        <v>3787</v>
      </c>
      <c r="G37" s="162" t="s">
        <v>3787</v>
      </c>
      <c r="H37" s="168" t="s">
        <v>45</v>
      </c>
      <c r="I37" s="162" t="s">
        <v>43</v>
      </c>
      <c r="J37" s="162" t="s">
        <v>43</v>
      </c>
      <c r="K37" s="162" t="s">
        <v>43</v>
      </c>
    </row>
    <row r="38" spans="1:11" ht="120">
      <c r="A38" s="164" t="s">
        <v>3783</v>
      </c>
      <c r="B38" s="162" t="s">
        <v>3788</v>
      </c>
      <c r="C38" s="162" t="s">
        <v>3789</v>
      </c>
      <c r="D38" s="162" t="s">
        <v>3671</v>
      </c>
      <c r="E38" s="162" t="s">
        <v>3790</v>
      </c>
      <c r="F38" s="162" t="s">
        <v>3791</v>
      </c>
      <c r="G38" s="162" t="s">
        <v>3791</v>
      </c>
      <c r="H38" s="168" t="s">
        <v>45</v>
      </c>
      <c r="I38" s="162" t="s">
        <v>43</v>
      </c>
      <c r="J38" s="162" t="s">
        <v>43</v>
      </c>
      <c r="K38" s="162" t="s">
        <v>43</v>
      </c>
    </row>
    <row r="39" spans="1:11" ht="90">
      <c r="A39" s="164" t="s">
        <v>3783</v>
      </c>
      <c r="B39" s="162" t="s">
        <v>3792</v>
      </c>
      <c r="C39" s="162" t="s">
        <v>3793</v>
      </c>
      <c r="D39" s="162" t="s">
        <v>3671</v>
      </c>
      <c r="E39" s="162" t="s">
        <v>3794</v>
      </c>
      <c r="F39" s="162" t="s">
        <v>3795</v>
      </c>
      <c r="G39" s="162" t="s">
        <v>3795</v>
      </c>
      <c r="H39" s="168" t="s">
        <v>45</v>
      </c>
      <c r="I39" s="162" t="s">
        <v>43</v>
      </c>
      <c r="J39" s="162" t="s">
        <v>43</v>
      </c>
      <c r="K39" s="162" t="s">
        <v>43</v>
      </c>
    </row>
    <row r="40" spans="1:11" ht="105">
      <c r="A40" s="164" t="s">
        <v>3783</v>
      </c>
      <c r="B40" s="162" t="s">
        <v>3796</v>
      </c>
      <c r="C40" s="162" t="s">
        <v>3797</v>
      </c>
      <c r="D40" s="162" t="s">
        <v>3671</v>
      </c>
      <c r="E40" s="162" t="s">
        <v>3798</v>
      </c>
      <c r="F40" s="162" t="s">
        <v>3799</v>
      </c>
      <c r="G40" s="162" t="s">
        <v>3799</v>
      </c>
      <c r="H40" s="168" t="s">
        <v>45</v>
      </c>
      <c r="I40" s="162" t="s">
        <v>43</v>
      </c>
      <c r="J40" s="162" t="s">
        <v>43</v>
      </c>
      <c r="K40" s="162" t="s">
        <v>43</v>
      </c>
    </row>
    <row r="41" spans="1:11" ht="120">
      <c r="A41" s="164" t="s">
        <v>3783</v>
      </c>
      <c r="B41" s="162" t="s">
        <v>3800</v>
      </c>
      <c r="C41" s="162" t="s">
        <v>3801</v>
      </c>
      <c r="D41" s="162" t="s">
        <v>3671</v>
      </c>
      <c r="E41" s="162" t="s">
        <v>3802</v>
      </c>
      <c r="F41" s="162" t="s">
        <v>3803</v>
      </c>
      <c r="G41" s="162" t="s">
        <v>3803</v>
      </c>
      <c r="H41" s="168" t="s">
        <v>45</v>
      </c>
      <c r="I41" s="162" t="s">
        <v>43</v>
      </c>
      <c r="J41" s="162" t="s">
        <v>43</v>
      </c>
      <c r="K41" s="162" t="s">
        <v>43</v>
      </c>
    </row>
    <row r="42" spans="1:11" ht="105">
      <c r="A42" s="164" t="s">
        <v>3783</v>
      </c>
      <c r="B42" s="162" t="s">
        <v>3804</v>
      </c>
      <c r="C42" s="162" t="s">
        <v>3805</v>
      </c>
      <c r="D42" s="162" t="s">
        <v>3671</v>
      </c>
      <c r="E42" s="162" t="s">
        <v>3806</v>
      </c>
      <c r="F42" s="162" t="s">
        <v>3807</v>
      </c>
      <c r="G42" s="162" t="s">
        <v>3807</v>
      </c>
      <c r="H42" s="168" t="s">
        <v>45</v>
      </c>
      <c r="I42" s="162" t="s">
        <v>43</v>
      </c>
      <c r="J42" s="162" t="s">
        <v>43</v>
      </c>
      <c r="K42" s="162" t="s">
        <v>43</v>
      </c>
    </row>
    <row r="43" spans="1:11" ht="105">
      <c r="A43" s="164" t="s">
        <v>3783</v>
      </c>
      <c r="B43" s="162" t="s">
        <v>3808</v>
      </c>
      <c r="C43" s="162" t="s">
        <v>3809</v>
      </c>
      <c r="D43" s="162" t="s">
        <v>3671</v>
      </c>
      <c r="E43" s="162" t="s">
        <v>3810</v>
      </c>
      <c r="F43" s="162" t="s">
        <v>3811</v>
      </c>
      <c r="G43" s="162" t="s">
        <v>3811</v>
      </c>
      <c r="H43" s="168" t="s">
        <v>45</v>
      </c>
      <c r="I43" s="162" t="s">
        <v>43</v>
      </c>
      <c r="J43" s="162" t="s">
        <v>43</v>
      </c>
      <c r="K43" s="162" t="s">
        <v>43</v>
      </c>
    </row>
    <row r="44" spans="1:11" ht="60">
      <c r="A44" s="164" t="s">
        <v>3783</v>
      </c>
      <c r="B44" s="162" t="s">
        <v>3812</v>
      </c>
      <c r="C44" s="162" t="s">
        <v>3813</v>
      </c>
      <c r="D44" s="162" t="s">
        <v>3671</v>
      </c>
      <c r="E44" s="162" t="s">
        <v>3814</v>
      </c>
      <c r="F44" s="162" t="s">
        <v>3815</v>
      </c>
      <c r="G44" s="162" t="s">
        <v>3815</v>
      </c>
      <c r="H44" s="168" t="s">
        <v>45</v>
      </c>
      <c r="I44" s="162" t="s">
        <v>43</v>
      </c>
      <c r="J44" s="162" t="s">
        <v>43</v>
      </c>
      <c r="K44" s="162" t="s">
        <v>43</v>
      </c>
    </row>
    <row r="45" spans="1:11" ht="90">
      <c r="A45" s="164" t="s">
        <v>3783</v>
      </c>
      <c r="B45" s="162" t="s">
        <v>3816</v>
      </c>
      <c r="C45" s="162" t="s">
        <v>3817</v>
      </c>
      <c r="D45" s="162" t="s">
        <v>3671</v>
      </c>
      <c r="E45" s="162" t="s">
        <v>3818</v>
      </c>
      <c r="F45" s="162" t="s">
        <v>3819</v>
      </c>
      <c r="G45" s="162" t="s">
        <v>3819</v>
      </c>
      <c r="H45" s="168" t="s">
        <v>45</v>
      </c>
      <c r="I45" s="162" t="s">
        <v>43</v>
      </c>
      <c r="J45" s="162" t="s">
        <v>43</v>
      </c>
      <c r="K45" s="162" t="s">
        <v>43</v>
      </c>
    </row>
    <row r="46" spans="1:11" ht="90">
      <c r="A46" s="164" t="s">
        <v>3783</v>
      </c>
      <c r="B46" s="162" t="s">
        <v>3820</v>
      </c>
      <c r="C46" s="162" t="s">
        <v>3821</v>
      </c>
      <c r="D46" s="162" t="s">
        <v>3671</v>
      </c>
      <c r="E46" s="162" t="s">
        <v>3822</v>
      </c>
      <c r="F46" s="162" t="s">
        <v>3823</v>
      </c>
      <c r="G46" s="162" t="s">
        <v>3823</v>
      </c>
      <c r="H46" s="168" t="s">
        <v>45</v>
      </c>
      <c r="I46" s="162" t="s">
        <v>43</v>
      </c>
      <c r="J46" s="162" t="s">
        <v>43</v>
      </c>
      <c r="K46" s="162" t="s">
        <v>43</v>
      </c>
    </row>
    <row r="47" spans="1:11" ht="90">
      <c r="A47" s="164" t="s">
        <v>3824</v>
      </c>
      <c r="B47" s="162" t="s">
        <v>3825</v>
      </c>
      <c r="C47" s="162" t="s">
        <v>3826</v>
      </c>
      <c r="D47" s="162" t="s">
        <v>3671</v>
      </c>
      <c r="E47" s="162" t="s">
        <v>3827</v>
      </c>
      <c r="F47" s="162" t="s">
        <v>3828</v>
      </c>
      <c r="G47" s="162" t="s">
        <v>3828</v>
      </c>
      <c r="H47" s="168" t="s">
        <v>45</v>
      </c>
      <c r="I47" s="162" t="s">
        <v>43</v>
      </c>
      <c r="J47" s="162" t="s">
        <v>43</v>
      </c>
      <c r="K47" s="162" t="s">
        <v>43</v>
      </c>
    </row>
    <row r="48" spans="1:11" ht="75">
      <c r="A48" s="164" t="s">
        <v>3824</v>
      </c>
      <c r="B48" s="162" t="s">
        <v>3829</v>
      </c>
      <c r="C48" s="162" t="s">
        <v>3830</v>
      </c>
      <c r="D48" s="162" t="s">
        <v>3671</v>
      </c>
      <c r="E48" s="162" t="s">
        <v>3831</v>
      </c>
      <c r="F48" s="162" t="s">
        <v>3832</v>
      </c>
      <c r="G48" s="162" t="s">
        <v>3832</v>
      </c>
      <c r="H48" s="168" t="s">
        <v>45</v>
      </c>
      <c r="I48" s="162" t="s">
        <v>43</v>
      </c>
      <c r="J48" s="162" t="s">
        <v>43</v>
      </c>
      <c r="K48" s="162" t="s">
        <v>43</v>
      </c>
    </row>
    <row r="49" spans="1:11" ht="90">
      <c r="A49" s="164" t="s">
        <v>3833</v>
      </c>
      <c r="B49" s="162" t="s">
        <v>3834</v>
      </c>
      <c r="C49" s="162" t="s">
        <v>3835</v>
      </c>
      <c r="D49" s="162" t="s">
        <v>3671</v>
      </c>
      <c r="E49" s="162" t="s">
        <v>3836</v>
      </c>
      <c r="F49" s="162" t="s">
        <v>3837</v>
      </c>
      <c r="G49" s="162" t="s">
        <v>3837</v>
      </c>
      <c r="H49" s="168" t="s">
        <v>45</v>
      </c>
      <c r="I49" s="162" t="s">
        <v>43</v>
      </c>
      <c r="J49" s="162" t="s">
        <v>43</v>
      </c>
      <c r="K49" s="162" t="s">
        <v>43</v>
      </c>
    </row>
    <row r="50" spans="1:11" ht="75">
      <c r="A50" s="164" t="s">
        <v>3833</v>
      </c>
      <c r="B50" s="162" t="s">
        <v>3838</v>
      </c>
      <c r="C50" s="162" t="s">
        <v>3839</v>
      </c>
      <c r="D50" s="162" t="s">
        <v>3671</v>
      </c>
      <c r="E50" s="162" t="s">
        <v>3840</v>
      </c>
      <c r="F50" s="162" t="s">
        <v>3841</v>
      </c>
      <c r="G50" s="162" t="s">
        <v>3841</v>
      </c>
      <c r="H50" s="168" t="s">
        <v>45</v>
      </c>
      <c r="I50" s="162" t="s">
        <v>43</v>
      </c>
      <c r="J50" s="162" t="s">
        <v>43</v>
      </c>
      <c r="K50" s="162" t="s">
        <v>43</v>
      </c>
    </row>
    <row r="51" spans="1:11" ht="90">
      <c r="A51" s="164" t="s">
        <v>3833</v>
      </c>
      <c r="B51" s="162" t="s">
        <v>3842</v>
      </c>
      <c r="C51" s="162" t="s">
        <v>3843</v>
      </c>
      <c r="D51" s="162" t="s">
        <v>3671</v>
      </c>
      <c r="E51" s="162" t="s">
        <v>3844</v>
      </c>
      <c r="F51" s="162" t="s">
        <v>3845</v>
      </c>
      <c r="G51" s="162" t="s">
        <v>3845</v>
      </c>
      <c r="H51" s="168" t="s">
        <v>45</v>
      </c>
      <c r="I51" s="162" t="s">
        <v>43</v>
      </c>
      <c r="J51" s="162" t="s">
        <v>43</v>
      </c>
      <c r="K51" s="162" t="s">
        <v>43</v>
      </c>
    </row>
    <row r="52" spans="1:11" ht="75">
      <c r="A52" s="164" t="s">
        <v>3846</v>
      </c>
      <c r="B52" s="162" t="s">
        <v>3847</v>
      </c>
      <c r="C52" s="162" t="s">
        <v>3848</v>
      </c>
      <c r="D52" s="162" t="s">
        <v>3671</v>
      </c>
      <c r="E52" s="162" t="s">
        <v>3849</v>
      </c>
      <c r="F52" s="162" t="s">
        <v>3850</v>
      </c>
      <c r="G52" s="162" t="s">
        <v>3850</v>
      </c>
      <c r="H52" s="168" t="s">
        <v>45</v>
      </c>
      <c r="I52" s="162" t="s">
        <v>43</v>
      </c>
      <c r="J52" s="162" t="s">
        <v>43</v>
      </c>
      <c r="K52" s="162" t="s">
        <v>43</v>
      </c>
    </row>
    <row r="53" spans="1:11" ht="105">
      <c r="A53" s="164" t="s">
        <v>3851</v>
      </c>
      <c r="B53" s="162" t="s">
        <v>3852</v>
      </c>
      <c r="C53" s="162" t="s">
        <v>3853</v>
      </c>
      <c r="D53" s="162" t="s">
        <v>3671</v>
      </c>
      <c r="E53" s="162" t="s">
        <v>3854</v>
      </c>
      <c r="F53" s="162" t="s">
        <v>3855</v>
      </c>
      <c r="G53" s="162" t="s">
        <v>3855</v>
      </c>
      <c r="H53" s="168" t="s">
        <v>45</v>
      </c>
      <c r="I53" s="162" t="s">
        <v>43</v>
      </c>
      <c r="J53" s="162" t="s">
        <v>43</v>
      </c>
      <c r="K53" s="162" t="s">
        <v>43</v>
      </c>
    </row>
    <row r="54" spans="1:11" ht="105">
      <c r="A54" s="164" t="s">
        <v>3851</v>
      </c>
      <c r="B54" s="162" t="s">
        <v>3856</v>
      </c>
      <c r="C54" s="162" t="s">
        <v>3857</v>
      </c>
      <c r="D54" s="162" t="s">
        <v>3671</v>
      </c>
      <c r="E54" s="162" t="s">
        <v>3858</v>
      </c>
      <c r="F54" s="162" t="s">
        <v>3859</v>
      </c>
      <c r="G54" s="162" t="s">
        <v>3859</v>
      </c>
      <c r="H54" s="168" t="s">
        <v>45</v>
      </c>
      <c r="I54" s="162" t="s">
        <v>43</v>
      </c>
      <c r="J54" s="162" t="s">
        <v>43</v>
      </c>
      <c r="K54" s="162" t="s">
        <v>43</v>
      </c>
    </row>
    <row r="55" spans="1:11" ht="105">
      <c r="A55" s="164" t="s">
        <v>3851</v>
      </c>
      <c r="B55" s="162" t="s">
        <v>3860</v>
      </c>
      <c r="C55" s="162" t="s">
        <v>3861</v>
      </c>
      <c r="D55" s="162" t="s">
        <v>3671</v>
      </c>
      <c r="E55" s="162" t="s">
        <v>3862</v>
      </c>
      <c r="F55" s="162" t="s">
        <v>3863</v>
      </c>
      <c r="G55" s="162" t="s">
        <v>3863</v>
      </c>
      <c r="H55" s="168" t="s">
        <v>45</v>
      </c>
      <c r="I55" s="162" t="s">
        <v>43</v>
      </c>
      <c r="J55" s="162" t="s">
        <v>3864</v>
      </c>
      <c r="K55" s="162" t="s">
        <v>43</v>
      </c>
    </row>
    <row r="56" spans="1:11" ht="135">
      <c r="A56" s="164" t="s">
        <v>3851</v>
      </c>
      <c r="B56" s="162" t="s">
        <v>3865</v>
      </c>
      <c r="C56" s="162" t="s">
        <v>3866</v>
      </c>
      <c r="D56" s="162" t="s">
        <v>3671</v>
      </c>
      <c r="E56" s="162" t="s">
        <v>3867</v>
      </c>
      <c r="F56" s="162" t="s">
        <v>3868</v>
      </c>
      <c r="G56" s="162" t="s">
        <v>3868</v>
      </c>
      <c r="H56" s="168" t="s">
        <v>45</v>
      </c>
      <c r="I56" s="162" t="s">
        <v>43</v>
      </c>
      <c r="J56" s="162" t="s">
        <v>43</v>
      </c>
      <c r="K56" s="162" t="s">
        <v>43</v>
      </c>
    </row>
    <row r="57" spans="1:11" ht="90">
      <c r="A57" s="164" t="s">
        <v>3846</v>
      </c>
      <c r="B57" s="162" t="s">
        <v>3869</v>
      </c>
      <c r="C57" s="162" t="s">
        <v>3870</v>
      </c>
      <c r="D57" s="162" t="s">
        <v>3671</v>
      </c>
      <c r="E57" s="162" t="s">
        <v>3871</v>
      </c>
      <c r="F57" s="162" t="s">
        <v>3872</v>
      </c>
      <c r="G57" s="162" t="s">
        <v>3872</v>
      </c>
      <c r="H57" s="168" t="s">
        <v>45</v>
      </c>
      <c r="I57" s="162" t="s">
        <v>43</v>
      </c>
      <c r="J57" s="162" t="s">
        <v>43</v>
      </c>
      <c r="K57" s="162" t="s">
        <v>43</v>
      </c>
    </row>
    <row r="58" spans="1:11" ht="90">
      <c r="A58" s="164" t="s">
        <v>3873</v>
      </c>
      <c r="B58" s="162" t="s">
        <v>3874</v>
      </c>
      <c r="C58" s="162" t="s">
        <v>3875</v>
      </c>
      <c r="D58" s="162" t="s">
        <v>3876</v>
      </c>
      <c r="E58" s="162" t="s">
        <v>3877</v>
      </c>
      <c r="F58" s="162" t="s">
        <v>3878</v>
      </c>
      <c r="G58" s="162" t="s">
        <v>3878</v>
      </c>
      <c r="H58" s="168" t="s">
        <v>45</v>
      </c>
      <c r="I58" s="162" t="s">
        <v>43</v>
      </c>
      <c r="J58" s="162" t="s">
        <v>43</v>
      </c>
      <c r="K58" s="162" t="s">
        <v>43</v>
      </c>
    </row>
    <row r="59" spans="1:11" ht="75">
      <c r="A59" s="164" t="s">
        <v>3873</v>
      </c>
      <c r="B59" s="162" t="s">
        <v>3879</v>
      </c>
      <c r="C59" s="162" t="s">
        <v>3880</v>
      </c>
      <c r="D59" s="162" t="s">
        <v>3876</v>
      </c>
      <c r="E59" s="162" t="s">
        <v>3881</v>
      </c>
      <c r="F59" s="162" t="s">
        <v>3882</v>
      </c>
      <c r="G59" s="162" t="s">
        <v>3882</v>
      </c>
      <c r="H59" s="168" t="s">
        <v>45</v>
      </c>
      <c r="I59" s="162" t="s">
        <v>43</v>
      </c>
      <c r="J59" s="162" t="s">
        <v>43</v>
      </c>
      <c r="K59" s="162" t="s">
        <v>43</v>
      </c>
    </row>
    <row r="60" spans="1:11" ht="120">
      <c r="A60" s="164" t="s">
        <v>3883</v>
      </c>
      <c r="B60" s="162" t="s">
        <v>3884</v>
      </c>
      <c r="C60" s="162" t="s">
        <v>3885</v>
      </c>
      <c r="D60" s="162" t="s">
        <v>3876</v>
      </c>
      <c r="E60" s="162" t="s">
        <v>3886</v>
      </c>
      <c r="F60" s="162" t="s">
        <v>3887</v>
      </c>
      <c r="G60" s="162" t="s">
        <v>3887</v>
      </c>
      <c r="H60" s="168" t="s">
        <v>45</v>
      </c>
      <c r="I60" s="162" t="s">
        <v>3888</v>
      </c>
      <c r="J60" s="162"/>
      <c r="K60" s="162" t="s">
        <v>43</v>
      </c>
    </row>
    <row r="61" spans="1:11" ht="135">
      <c r="A61" s="164" t="s">
        <v>3883</v>
      </c>
      <c r="B61" s="162" t="s">
        <v>3889</v>
      </c>
      <c r="C61" s="162" t="s">
        <v>3890</v>
      </c>
      <c r="D61" s="162" t="s">
        <v>3876</v>
      </c>
      <c r="E61" s="162" t="s">
        <v>3891</v>
      </c>
      <c r="F61" s="162" t="s">
        <v>3892</v>
      </c>
      <c r="G61" s="162" t="s">
        <v>3892</v>
      </c>
      <c r="H61" s="168" t="s">
        <v>45</v>
      </c>
      <c r="I61" s="162" t="s">
        <v>3893</v>
      </c>
      <c r="J61" s="162" t="s">
        <v>43</v>
      </c>
      <c r="K61" s="162" t="s">
        <v>43</v>
      </c>
    </row>
    <row r="62" spans="1:11" ht="105">
      <c r="A62" s="164" t="s">
        <v>3883</v>
      </c>
      <c r="B62" s="162" t="s">
        <v>3894</v>
      </c>
      <c r="C62" s="162" t="s">
        <v>3895</v>
      </c>
      <c r="D62" s="162" t="s">
        <v>3876</v>
      </c>
      <c r="E62" s="162" t="s">
        <v>3896</v>
      </c>
      <c r="F62" s="162" t="s">
        <v>3897</v>
      </c>
      <c r="G62" s="162" t="s">
        <v>3898</v>
      </c>
      <c r="H62" s="168" t="s">
        <v>45</v>
      </c>
      <c r="I62" s="162" t="s">
        <v>43</v>
      </c>
      <c r="J62" s="162" t="s">
        <v>43</v>
      </c>
      <c r="K62" s="162" t="s">
        <v>43</v>
      </c>
    </row>
    <row r="63" spans="1:11" ht="90">
      <c r="A63" s="164" t="s">
        <v>3899</v>
      </c>
      <c r="B63" s="162" t="s">
        <v>3900</v>
      </c>
      <c r="C63" s="162" t="s">
        <v>3901</v>
      </c>
      <c r="D63" s="162" t="s">
        <v>3902</v>
      </c>
      <c r="E63" s="162" t="s">
        <v>3903</v>
      </c>
      <c r="F63" s="162" t="s">
        <v>3904</v>
      </c>
      <c r="G63" s="162" t="s">
        <v>3904</v>
      </c>
      <c r="H63" s="168" t="s">
        <v>45</v>
      </c>
      <c r="I63" s="162" t="s">
        <v>43</v>
      </c>
      <c r="J63" s="162" t="s">
        <v>43</v>
      </c>
      <c r="K63" s="162" t="s">
        <v>43</v>
      </c>
    </row>
    <row r="64" spans="1:11" ht="120">
      <c r="A64" s="164" t="s">
        <v>3899</v>
      </c>
      <c r="B64" s="162" t="s">
        <v>3905</v>
      </c>
      <c r="C64" s="162" t="s">
        <v>3906</v>
      </c>
      <c r="D64" s="162" t="s">
        <v>3902</v>
      </c>
      <c r="E64" s="162" t="s">
        <v>3907</v>
      </c>
      <c r="F64" s="162" t="s">
        <v>3908</v>
      </c>
      <c r="G64" s="162" t="s">
        <v>3908</v>
      </c>
      <c r="H64" s="168" t="s">
        <v>45</v>
      </c>
      <c r="I64" s="162" t="s">
        <v>43</v>
      </c>
      <c r="J64" s="162" t="s">
        <v>43</v>
      </c>
      <c r="K64" s="162" t="s">
        <v>43</v>
      </c>
    </row>
    <row r="65" spans="1:11" ht="105">
      <c r="A65" s="164" t="s">
        <v>3909</v>
      </c>
      <c r="B65" s="162" t="s">
        <v>3910</v>
      </c>
      <c r="C65" s="162" t="s">
        <v>3911</v>
      </c>
      <c r="D65" s="162" t="s">
        <v>3902</v>
      </c>
      <c r="E65" s="162" t="s">
        <v>3912</v>
      </c>
      <c r="F65" s="162" t="s">
        <v>3913</v>
      </c>
      <c r="G65" s="162" t="s">
        <v>3913</v>
      </c>
      <c r="H65" s="168" t="s">
        <v>45</v>
      </c>
      <c r="I65" s="162" t="s">
        <v>43</v>
      </c>
      <c r="J65" s="162" t="s">
        <v>43</v>
      </c>
      <c r="K65" s="162" t="s">
        <v>43</v>
      </c>
    </row>
    <row r="66" spans="1:11" ht="90">
      <c r="A66" s="164" t="s">
        <v>3909</v>
      </c>
      <c r="B66" s="162" t="s">
        <v>3914</v>
      </c>
      <c r="C66" s="162" t="s">
        <v>3915</v>
      </c>
      <c r="D66" s="162" t="s">
        <v>3902</v>
      </c>
      <c r="E66" s="162" t="s">
        <v>3916</v>
      </c>
      <c r="F66" s="162" t="s">
        <v>3917</v>
      </c>
      <c r="G66" s="162" t="s">
        <v>3917</v>
      </c>
      <c r="H66" s="168" t="s">
        <v>45</v>
      </c>
      <c r="I66" s="162" t="s">
        <v>43</v>
      </c>
      <c r="J66" s="162" t="s">
        <v>43</v>
      </c>
      <c r="K66" s="162" t="s">
        <v>43</v>
      </c>
    </row>
    <row r="67" spans="1:11" ht="90">
      <c r="A67" s="164" t="s">
        <v>3918</v>
      </c>
      <c r="B67" s="162" t="s">
        <v>3919</v>
      </c>
      <c r="C67" s="162" t="s">
        <v>3920</v>
      </c>
      <c r="D67" s="162" t="s">
        <v>3902</v>
      </c>
      <c r="E67" s="162" t="s">
        <v>3921</v>
      </c>
      <c r="F67" s="162" t="s">
        <v>3922</v>
      </c>
      <c r="G67" s="162" t="s">
        <v>3922</v>
      </c>
      <c r="H67" s="168" t="s">
        <v>45</v>
      </c>
      <c r="I67" s="162" t="s">
        <v>43</v>
      </c>
      <c r="J67" s="162" t="s">
        <v>43</v>
      </c>
      <c r="K67" s="162" t="s">
        <v>43</v>
      </c>
    </row>
    <row r="68" spans="1:11" ht="90">
      <c r="A68" s="164" t="s">
        <v>3918</v>
      </c>
      <c r="B68" s="162" t="s">
        <v>3923</v>
      </c>
      <c r="C68" s="162" t="s">
        <v>3924</v>
      </c>
      <c r="D68" s="162" t="s">
        <v>3902</v>
      </c>
      <c r="E68" s="162" t="s">
        <v>3925</v>
      </c>
      <c r="F68" s="162" t="s">
        <v>3926</v>
      </c>
      <c r="G68" s="162" t="s">
        <v>3926</v>
      </c>
      <c r="H68" s="168" t="s">
        <v>45</v>
      </c>
      <c r="I68" s="162" t="s">
        <v>43</v>
      </c>
      <c r="J68" s="162" t="s">
        <v>43</v>
      </c>
      <c r="K68" s="162" t="s">
        <v>43</v>
      </c>
    </row>
    <row r="69" spans="1:11" ht="90">
      <c r="A69" s="164" t="s">
        <v>3927</v>
      </c>
      <c r="B69" s="162" t="s">
        <v>3928</v>
      </c>
      <c r="C69" s="162" t="s">
        <v>3929</v>
      </c>
      <c r="D69" s="162" t="s">
        <v>3902</v>
      </c>
      <c r="E69" s="162" t="s">
        <v>3930</v>
      </c>
      <c r="F69" s="162" t="s">
        <v>3931</v>
      </c>
      <c r="G69" s="162" t="s">
        <v>3931</v>
      </c>
      <c r="H69" s="168" t="s">
        <v>45</v>
      </c>
      <c r="I69" s="162" t="s">
        <v>43</v>
      </c>
      <c r="J69" s="162" t="s">
        <v>43</v>
      </c>
      <c r="K69" s="162" t="s">
        <v>43</v>
      </c>
    </row>
    <row r="70" spans="1:11" ht="105">
      <c r="A70" s="164" t="s">
        <v>3927</v>
      </c>
      <c r="B70" s="162" t="s">
        <v>3932</v>
      </c>
      <c r="C70" s="162" t="s">
        <v>3933</v>
      </c>
      <c r="D70" s="162" t="s">
        <v>3902</v>
      </c>
      <c r="E70" s="162" t="s">
        <v>3934</v>
      </c>
      <c r="F70" s="162" t="s">
        <v>3935</v>
      </c>
      <c r="G70" s="162" t="s">
        <v>3935</v>
      </c>
      <c r="H70" s="168" t="s">
        <v>45</v>
      </c>
      <c r="I70" s="162" t="s">
        <v>43</v>
      </c>
      <c r="J70" s="162" t="s">
        <v>43</v>
      </c>
      <c r="K70" s="162" t="s">
        <v>43</v>
      </c>
    </row>
    <row r="71" spans="1:11" ht="90">
      <c r="A71" s="164" t="s">
        <v>3936</v>
      </c>
      <c r="B71" s="162" t="s">
        <v>3937</v>
      </c>
      <c r="C71" s="162" t="s">
        <v>3938</v>
      </c>
      <c r="D71" s="162" t="s">
        <v>3902</v>
      </c>
      <c r="E71" s="162" t="s">
        <v>3939</v>
      </c>
      <c r="F71" s="162" t="s">
        <v>3940</v>
      </c>
      <c r="G71" s="162" t="s">
        <v>3940</v>
      </c>
      <c r="H71" s="168" t="s">
        <v>45</v>
      </c>
      <c r="I71" s="162" t="s">
        <v>43</v>
      </c>
      <c r="J71" s="162" t="s">
        <v>43</v>
      </c>
      <c r="K71" s="162" t="s">
        <v>43</v>
      </c>
    </row>
    <row r="72" spans="1:11" ht="105">
      <c r="A72" s="164" t="s">
        <v>3941</v>
      </c>
      <c r="B72" s="162" t="s">
        <v>3942</v>
      </c>
      <c r="C72" s="162" t="s">
        <v>3943</v>
      </c>
      <c r="D72" s="162" t="s">
        <v>3902</v>
      </c>
      <c r="E72" s="162" t="s">
        <v>3944</v>
      </c>
      <c r="F72" s="162" t="s">
        <v>3945</v>
      </c>
      <c r="G72" s="162" t="s">
        <v>3945</v>
      </c>
      <c r="H72" s="168" t="s">
        <v>45</v>
      </c>
      <c r="I72" s="162" t="s">
        <v>43</v>
      </c>
      <c r="J72" s="162" t="s">
        <v>43</v>
      </c>
      <c r="K72" s="162" t="s">
        <v>43</v>
      </c>
    </row>
    <row r="73" spans="1:11" ht="90">
      <c r="A73" s="164" t="s">
        <v>3941</v>
      </c>
      <c r="B73" s="162" t="s">
        <v>3946</v>
      </c>
      <c r="C73" s="162" t="s">
        <v>3947</v>
      </c>
      <c r="D73" s="162" t="s">
        <v>3902</v>
      </c>
      <c r="E73" s="162" t="s">
        <v>3948</v>
      </c>
      <c r="F73" s="162" t="s">
        <v>3949</v>
      </c>
      <c r="G73" s="162" t="s">
        <v>3949</v>
      </c>
      <c r="H73" s="168" t="s">
        <v>45</v>
      </c>
      <c r="I73" s="162" t="s">
        <v>43</v>
      </c>
      <c r="J73" s="162" t="s">
        <v>43</v>
      </c>
      <c r="K73" s="162" t="s">
        <v>43</v>
      </c>
    </row>
    <row r="74" spans="1:11" ht="105">
      <c r="A74" s="164" t="s">
        <v>3950</v>
      </c>
      <c r="B74" s="162" t="s">
        <v>3951</v>
      </c>
      <c r="C74" s="162" t="s">
        <v>3952</v>
      </c>
      <c r="D74" s="162" t="s">
        <v>3902</v>
      </c>
      <c r="E74" s="162" t="s">
        <v>3953</v>
      </c>
      <c r="F74" s="162" t="s">
        <v>3954</v>
      </c>
      <c r="G74" s="162" t="s">
        <v>3954</v>
      </c>
      <c r="H74" s="168" t="s">
        <v>45</v>
      </c>
      <c r="I74" s="162" t="s">
        <v>43</v>
      </c>
      <c r="J74" s="162" t="s">
        <v>43</v>
      </c>
      <c r="K74" s="162" t="s">
        <v>43</v>
      </c>
    </row>
    <row r="75" spans="1:11" ht="120">
      <c r="A75" s="164" t="s">
        <v>3950</v>
      </c>
      <c r="B75" s="162" t="s">
        <v>3955</v>
      </c>
      <c r="C75" s="162" t="s">
        <v>3956</v>
      </c>
      <c r="D75" s="162" t="s">
        <v>3902</v>
      </c>
      <c r="E75" s="162" t="s">
        <v>3957</v>
      </c>
      <c r="F75" s="162" t="s">
        <v>3958</v>
      </c>
      <c r="G75" s="162" t="s">
        <v>3958</v>
      </c>
      <c r="H75" s="168" t="s">
        <v>45</v>
      </c>
      <c r="I75" s="162" t="s">
        <v>3888</v>
      </c>
      <c r="J75" s="162" t="s">
        <v>43</v>
      </c>
      <c r="K75" s="162" t="s">
        <v>43</v>
      </c>
    </row>
    <row r="76" spans="1:11" ht="120">
      <c r="A76" s="164" t="s">
        <v>3959</v>
      </c>
      <c r="B76" s="162" t="s">
        <v>3960</v>
      </c>
      <c r="C76" s="162" t="s">
        <v>3961</v>
      </c>
      <c r="D76" s="162" t="s">
        <v>3962</v>
      </c>
      <c r="E76" s="162" t="s">
        <v>3963</v>
      </c>
      <c r="F76" s="162" t="s">
        <v>3964</v>
      </c>
      <c r="G76" s="162" t="s">
        <v>3964</v>
      </c>
      <c r="H76" s="168" t="s">
        <v>45</v>
      </c>
      <c r="I76" s="162" t="s">
        <v>43</v>
      </c>
      <c r="J76" s="162" t="s">
        <v>43</v>
      </c>
      <c r="K76" s="162" t="s">
        <v>43</v>
      </c>
    </row>
    <row r="77" spans="1:11" ht="135">
      <c r="A77" s="164" t="s">
        <v>3965</v>
      </c>
      <c r="B77" s="162" t="s">
        <v>3966</v>
      </c>
      <c r="C77" s="162" t="s">
        <v>3967</v>
      </c>
      <c r="D77" s="162" t="s">
        <v>3962</v>
      </c>
      <c r="E77" s="162" t="s">
        <v>3968</v>
      </c>
      <c r="F77" s="162" t="s">
        <v>3969</v>
      </c>
      <c r="G77" s="162" t="s">
        <v>3969</v>
      </c>
      <c r="H77" s="168" t="s">
        <v>45</v>
      </c>
      <c r="I77" s="162" t="s">
        <v>43</v>
      </c>
      <c r="J77" s="162" t="s">
        <v>43</v>
      </c>
      <c r="K77" s="162" t="s">
        <v>43</v>
      </c>
    </row>
    <row r="78" spans="1:11" ht="135">
      <c r="A78" s="164" t="s">
        <v>3970</v>
      </c>
      <c r="B78" s="162" t="s">
        <v>3971</v>
      </c>
      <c r="C78" s="162" t="s">
        <v>3972</v>
      </c>
      <c r="D78" s="162" t="s">
        <v>3962</v>
      </c>
      <c r="E78" s="162" t="s">
        <v>3973</v>
      </c>
      <c r="F78" s="162" t="s">
        <v>3974</v>
      </c>
      <c r="G78" s="162" t="s">
        <v>3974</v>
      </c>
      <c r="H78" s="168" t="s">
        <v>45</v>
      </c>
      <c r="I78" s="162" t="s">
        <v>3975</v>
      </c>
      <c r="J78" s="162" t="s">
        <v>43</v>
      </c>
      <c r="K78" s="162" t="s">
        <v>43</v>
      </c>
    </row>
    <row r="79" spans="1:11" ht="240">
      <c r="A79" s="164" t="s">
        <v>3976</v>
      </c>
      <c r="B79" s="162" t="s">
        <v>3977</v>
      </c>
      <c r="C79" s="162" t="s">
        <v>3978</v>
      </c>
      <c r="D79" s="162" t="s">
        <v>3962</v>
      </c>
      <c r="E79" s="162" t="s">
        <v>3979</v>
      </c>
      <c r="F79" s="162" t="s">
        <v>3980</v>
      </c>
      <c r="G79" s="162" t="s">
        <v>3981</v>
      </c>
      <c r="H79" s="168" t="s">
        <v>45</v>
      </c>
      <c r="I79" s="162" t="s">
        <v>3982</v>
      </c>
      <c r="J79" s="162" t="s">
        <v>43</v>
      </c>
      <c r="K79" s="162" t="s">
        <v>43</v>
      </c>
    </row>
    <row r="80" spans="1:11" ht="180">
      <c r="A80" s="164" t="s">
        <v>3976</v>
      </c>
      <c r="B80" s="162" t="s">
        <v>3983</v>
      </c>
      <c r="C80" s="162" t="s">
        <v>3984</v>
      </c>
      <c r="D80" s="162" t="s">
        <v>3962</v>
      </c>
      <c r="E80" s="162" t="s">
        <v>3985</v>
      </c>
      <c r="F80" s="162" t="s">
        <v>3986</v>
      </c>
      <c r="G80" s="162" t="s">
        <v>3987</v>
      </c>
      <c r="H80" s="168" t="s">
        <v>45</v>
      </c>
      <c r="I80" s="162" t="s">
        <v>3988</v>
      </c>
      <c r="J80" s="162" t="s">
        <v>43</v>
      </c>
      <c r="K80" s="162" t="s">
        <v>43</v>
      </c>
    </row>
    <row r="81" spans="1:11" ht="120">
      <c r="A81" s="164" t="s">
        <v>3976</v>
      </c>
      <c r="B81" s="162" t="s">
        <v>3989</v>
      </c>
      <c r="C81" s="162" t="s">
        <v>3990</v>
      </c>
      <c r="D81" s="162" t="s">
        <v>3962</v>
      </c>
      <c r="E81" s="162" t="s">
        <v>3991</v>
      </c>
      <c r="F81" s="162" t="s">
        <v>3992</v>
      </c>
      <c r="G81" s="162" t="s">
        <v>3993</v>
      </c>
      <c r="H81" s="168" t="s">
        <v>45</v>
      </c>
      <c r="I81" s="162" t="s">
        <v>3994</v>
      </c>
      <c r="J81" s="162" t="s">
        <v>43</v>
      </c>
      <c r="K81" s="162" t="s">
        <v>43</v>
      </c>
    </row>
    <row r="82" spans="1:11" ht="195">
      <c r="A82" s="164" t="s">
        <v>3995</v>
      </c>
      <c r="B82" s="162" t="s">
        <v>3996</v>
      </c>
      <c r="C82" s="162" t="s">
        <v>3997</v>
      </c>
      <c r="D82" s="162" t="s">
        <v>3998</v>
      </c>
      <c r="E82" s="162" t="s">
        <v>3999</v>
      </c>
      <c r="F82" s="162" t="s">
        <v>4000</v>
      </c>
      <c r="G82" s="162" t="s">
        <v>4001</v>
      </c>
      <c r="H82" s="168" t="s">
        <v>45</v>
      </c>
      <c r="I82" s="162" t="s">
        <v>43</v>
      </c>
      <c r="J82" s="162" t="s">
        <v>43</v>
      </c>
      <c r="K82" s="162" t="s">
        <v>43</v>
      </c>
    </row>
    <row r="83" spans="1:11" ht="105">
      <c r="A83" s="164" t="s">
        <v>3995</v>
      </c>
      <c r="B83" s="162" t="s">
        <v>4002</v>
      </c>
      <c r="C83" s="162" t="s">
        <v>4003</v>
      </c>
      <c r="D83" s="162" t="s">
        <v>3998</v>
      </c>
      <c r="E83" s="162" t="s">
        <v>4004</v>
      </c>
      <c r="F83" s="162" t="s">
        <v>4005</v>
      </c>
      <c r="G83" s="162" t="s">
        <v>4005</v>
      </c>
      <c r="H83" s="168" t="s">
        <v>45</v>
      </c>
      <c r="I83" s="162" t="s">
        <v>43</v>
      </c>
      <c r="J83" s="162" t="s">
        <v>4006</v>
      </c>
      <c r="K83" s="162" t="s">
        <v>43</v>
      </c>
    </row>
    <row r="84" spans="1:11" ht="90">
      <c r="A84" s="164" t="s">
        <v>3995</v>
      </c>
      <c r="B84" s="162" t="s">
        <v>4007</v>
      </c>
      <c r="C84" s="162" t="s">
        <v>4008</v>
      </c>
      <c r="D84" s="162" t="s">
        <v>3998</v>
      </c>
      <c r="E84" s="162" t="s">
        <v>4009</v>
      </c>
      <c r="F84" s="162" t="s">
        <v>4010</v>
      </c>
      <c r="G84" s="162" t="s">
        <v>4010</v>
      </c>
      <c r="H84" s="168" t="s">
        <v>45</v>
      </c>
      <c r="I84" s="162" t="s">
        <v>43</v>
      </c>
      <c r="J84" s="162" t="s">
        <v>4011</v>
      </c>
      <c r="K84" s="162" t="s">
        <v>43</v>
      </c>
    </row>
    <row r="85" spans="1:11" ht="75">
      <c r="A85" s="164" t="s">
        <v>3995</v>
      </c>
      <c r="B85" s="162" t="s">
        <v>4012</v>
      </c>
      <c r="C85" s="162" t="s">
        <v>4013</v>
      </c>
      <c r="D85" s="162" t="s">
        <v>3998</v>
      </c>
      <c r="E85" s="162" t="s">
        <v>4014</v>
      </c>
      <c r="F85" s="162" t="s">
        <v>4015</v>
      </c>
      <c r="G85" s="162" t="s">
        <v>4015</v>
      </c>
      <c r="H85" s="168" t="s">
        <v>45</v>
      </c>
      <c r="I85" s="162" t="s">
        <v>43</v>
      </c>
      <c r="J85" s="162" t="s">
        <v>4016</v>
      </c>
      <c r="K85" s="162" t="s">
        <v>43</v>
      </c>
    </row>
    <row r="86" spans="1:11" ht="90">
      <c r="A86" s="164" t="s">
        <v>3995</v>
      </c>
      <c r="B86" s="162" t="s">
        <v>4017</v>
      </c>
      <c r="C86" s="162" t="s">
        <v>4018</v>
      </c>
      <c r="D86" s="162" t="s">
        <v>3998</v>
      </c>
      <c r="E86" s="162" t="s">
        <v>4019</v>
      </c>
      <c r="F86" s="162" t="s">
        <v>4020</v>
      </c>
      <c r="G86" s="162" t="s">
        <v>4020</v>
      </c>
      <c r="H86" s="168" t="s">
        <v>45</v>
      </c>
      <c r="I86" s="162" t="s">
        <v>43</v>
      </c>
      <c r="J86" s="162" t="s">
        <v>4021</v>
      </c>
      <c r="K86" s="162" t="s">
        <v>43</v>
      </c>
    </row>
    <row r="87" spans="1:11" ht="75">
      <c r="A87" s="164" t="s">
        <v>3995</v>
      </c>
      <c r="B87" s="162" t="s">
        <v>4022</v>
      </c>
      <c r="C87" s="162" t="s">
        <v>4023</v>
      </c>
      <c r="D87" s="162" t="s">
        <v>3998</v>
      </c>
      <c r="E87" s="162" t="s">
        <v>4024</v>
      </c>
      <c r="F87" s="162" t="s">
        <v>4025</v>
      </c>
      <c r="G87" s="162" t="s">
        <v>4025</v>
      </c>
      <c r="H87" s="168" t="s">
        <v>45</v>
      </c>
      <c r="I87" s="162" t="s">
        <v>43</v>
      </c>
      <c r="J87" s="162" t="s">
        <v>43</v>
      </c>
      <c r="K87" s="162" t="s">
        <v>43</v>
      </c>
    </row>
    <row r="88" spans="1:11" ht="75">
      <c r="A88" s="164" t="s">
        <v>3995</v>
      </c>
      <c r="B88" s="162" t="s">
        <v>4026</v>
      </c>
      <c r="C88" s="162" t="s">
        <v>4027</v>
      </c>
      <c r="D88" s="162" t="s">
        <v>3998</v>
      </c>
      <c r="E88" s="162" t="s">
        <v>4028</v>
      </c>
      <c r="F88" s="162" t="s">
        <v>4029</v>
      </c>
      <c r="G88" s="162" t="s">
        <v>4029</v>
      </c>
      <c r="H88" s="168" t="s">
        <v>45</v>
      </c>
      <c r="I88" s="162" t="s">
        <v>43</v>
      </c>
      <c r="J88" s="162" t="s">
        <v>4030</v>
      </c>
      <c r="K88" s="162" t="s">
        <v>43</v>
      </c>
    </row>
    <row r="89" spans="1:11" ht="75">
      <c r="A89" s="164" t="s">
        <v>4031</v>
      </c>
      <c r="B89" s="162" t="s">
        <v>4032</v>
      </c>
      <c r="C89" s="162" t="s">
        <v>4033</v>
      </c>
      <c r="D89" s="162" t="s">
        <v>3998</v>
      </c>
      <c r="E89" s="162" t="s">
        <v>4034</v>
      </c>
      <c r="F89" s="162" t="s">
        <v>4035</v>
      </c>
      <c r="G89" s="162" t="s">
        <v>4035</v>
      </c>
      <c r="H89" s="168" t="s">
        <v>45</v>
      </c>
      <c r="I89" s="162" t="s">
        <v>43</v>
      </c>
      <c r="J89" s="162" t="s">
        <v>4036</v>
      </c>
      <c r="K89" s="162" t="s">
        <v>43</v>
      </c>
    </row>
    <row r="90" spans="1:11" ht="75">
      <c r="A90" s="164" t="s">
        <v>4031</v>
      </c>
      <c r="B90" s="162" t="s">
        <v>4037</v>
      </c>
      <c r="C90" s="162" t="s">
        <v>4038</v>
      </c>
      <c r="D90" s="162" t="s">
        <v>3998</v>
      </c>
      <c r="E90" s="162" t="s">
        <v>4039</v>
      </c>
      <c r="F90" s="162" t="s">
        <v>4040</v>
      </c>
      <c r="G90" s="162" t="s">
        <v>4040</v>
      </c>
      <c r="H90" s="168" t="s">
        <v>45</v>
      </c>
      <c r="I90" s="162" t="s">
        <v>43</v>
      </c>
      <c r="J90" s="162" t="s">
        <v>4041</v>
      </c>
      <c r="K90" s="162" t="s">
        <v>43</v>
      </c>
    </row>
    <row r="91" spans="1:11" ht="75">
      <c r="A91" s="164" t="s">
        <v>4031</v>
      </c>
      <c r="B91" s="162" t="s">
        <v>4042</v>
      </c>
      <c r="C91" s="162" t="s">
        <v>4043</v>
      </c>
      <c r="D91" s="162" t="s">
        <v>3998</v>
      </c>
      <c r="E91" s="162" t="s">
        <v>4044</v>
      </c>
      <c r="F91" s="162" t="s">
        <v>4045</v>
      </c>
      <c r="G91" s="162" t="s">
        <v>4045</v>
      </c>
      <c r="H91" s="168" t="s">
        <v>45</v>
      </c>
      <c r="I91" s="162" t="s">
        <v>43</v>
      </c>
      <c r="J91" s="162" t="s">
        <v>43</v>
      </c>
      <c r="K91" s="162" t="s">
        <v>43</v>
      </c>
    </row>
    <row r="92" spans="1:11" ht="75">
      <c r="A92" s="164" t="s">
        <v>4031</v>
      </c>
      <c r="B92" s="162" t="s">
        <v>4046</v>
      </c>
      <c r="C92" s="162" t="s">
        <v>4047</v>
      </c>
      <c r="D92" s="162" t="s">
        <v>3998</v>
      </c>
      <c r="E92" s="162" t="s">
        <v>4048</v>
      </c>
      <c r="F92" s="162" t="s">
        <v>4049</v>
      </c>
      <c r="G92" s="162" t="s">
        <v>4049</v>
      </c>
      <c r="H92" s="168" t="s">
        <v>45</v>
      </c>
      <c r="I92" s="162" t="s">
        <v>43</v>
      </c>
      <c r="J92" s="162" t="s">
        <v>4050</v>
      </c>
      <c r="K92" s="162" t="s">
        <v>43</v>
      </c>
    </row>
    <row r="93" spans="1:11" ht="75">
      <c r="A93" s="164" t="s">
        <v>4031</v>
      </c>
      <c r="B93" s="162" t="s">
        <v>4051</v>
      </c>
      <c r="C93" s="162" t="s">
        <v>4052</v>
      </c>
      <c r="D93" s="162" t="s">
        <v>3998</v>
      </c>
      <c r="E93" s="162" t="s">
        <v>4053</v>
      </c>
      <c r="F93" s="162" t="s">
        <v>4054</v>
      </c>
      <c r="G93" s="162" t="s">
        <v>4054</v>
      </c>
      <c r="H93" s="168" t="s">
        <v>45</v>
      </c>
      <c r="I93" s="162" t="s">
        <v>43</v>
      </c>
      <c r="J93" s="162" t="s">
        <v>4055</v>
      </c>
      <c r="K93" s="162" t="s">
        <v>43</v>
      </c>
    </row>
    <row r="94" spans="1:11" ht="75">
      <c r="A94" s="164" t="s">
        <v>4031</v>
      </c>
      <c r="B94" s="162" t="s">
        <v>4056</v>
      </c>
      <c r="C94" s="162" t="s">
        <v>4057</v>
      </c>
      <c r="D94" s="162" t="s">
        <v>3998</v>
      </c>
      <c r="E94" s="162" t="s">
        <v>4058</v>
      </c>
      <c r="F94" s="162" t="s">
        <v>4059</v>
      </c>
      <c r="G94" s="162" t="s">
        <v>4059</v>
      </c>
      <c r="H94" s="168" t="s">
        <v>45</v>
      </c>
      <c r="I94" s="162" t="s">
        <v>43</v>
      </c>
      <c r="J94" s="162" t="s">
        <v>43</v>
      </c>
      <c r="K94" s="162" t="s">
        <v>43</v>
      </c>
    </row>
    <row r="95" spans="1:11" ht="75">
      <c r="A95" s="164" t="s">
        <v>4060</v>
      </c>
      <c r="B95" s="162" t="s">
        <v>4061</v>
      </c>
      <c r="C95" s="162" t="s">
        <v>4062</v>
      </c>
      <c r="D95" s="162" t="s">
        <v>3998</v>
      </c>
      <c r="E95" s="162" t="s">
        <v>4063</v>
      </c>
      <c r="F95" s="162" t="s">
        <v>4064</v>
      </c>
      <c r="G95" s="162" t="s">
        <v>4064</v>
      </c>
      <c r="H95" s="168" t="s">
        <v>45</v>
      </c>
      <c r="I95" s="162" t="s">
        <v>43</v>
      </c>
      <c r="J95" s="162" t="s">
        <v>4065</v>
      </c>
      <c r="K95" s="162" t="s">
        <v>43</v>
      </c>
    </row>
    <row r="96" spans="1:11" ht="75">
      <c r="A96" s="164" t="s">
        <v>4060</v>
      </c>
      <c r="B96" s="162" t="s">
        <v>4066</v>
      </c>
      <c r="C96" s="162" t="s">
        <v>4067</v>
      </c>
      <c r="D96" s="162" t="s">
        <v>3998</v>
      </c>
      <c r="E96" s="162" t="s">
        <v>4068</v>
      </c>
      <c r="F96" s="162" t="s">
        <v>4069</v>
      </c>
      <c r="G96" s="162" t="s">
        <v>4069</v>
      </c>
      <c r="H96" s="168" t="s">
        <v>45</v>
      </c>
      <c r="I96" s="162" t="s">
        <v>43</v>
      </c>
      <c r="J96" s="162" t="s">
        <v>4070</v>
      </c>
      <c r="K96" s="162" t="s">
        <v>43</v>
      </c>
    </row>
    <row r="97" spans="1:11" ht="75">
      <c r="A97" s="164" t="s">
        <v>4060</v>
      </c>
      <c r="B97" s="162" t="s">
        <v>4071</v>
      </c>
      <c r="C97" s="162" t="s">
        <v>4072</v>
      </c>
      <c r="D97" s="162" t="s">
        <v>3998</v>
      </c>
      <c r="E97" s="162" t="s">
        <v>4073</v>
      </c>
      <c r="F97" s="162" t="s">
        <v>4074</v>
      </c>
      <c r="G97" s="162" t="s">
        <v>4074</v>
      </c>
      <c r="H97" s="168" t="s">
        <v>45</v>
      </c>
      <c r="I97" s="162" t="s">
        <v>43</v>
      </c>
      <c r="J97" s="162" t="s">
        <v>43</v>
      </c>
      <c r="K97" s="162" t="s">
        <v>43</v>
      </c>
    </row>
    <row r="98" spans="1:11" ht="120">
      <c r="A98" s="164" t="s">
        <v>4075</v>
      </c>
      <c r="B98" s="162" t="s">
        <v>4076</v>
      </c>
      <c r="C98" s="162" t="s">
        <v>4077</v>
      </c>
      <c r="D98" s="162" t="s">
        <v>3998</v>
      </c>
      <c r="E98" s="162" t="s">
        <v>4078</v>
      </c>
      <c r="F98" s="162" t="s">
        <v>4079</v>
      </c>
      <c r="G98" s="162" t="s">
        <v>4079</v>
      </c>
      <c r="H98" s="168" t="s">
        <v>45</v>
      </c>
      <c r="I98" s="162" t="s">
        <v>3888</v>
      </c>
      <c r="J98" s="162"/>
      <c r="K98" s="162" t="s">
        <v>43</v>
      </c>
    </row>
    <row r="99" spans="1:11" ht="75">
      <c r="A99" s="164" t="s">
        <v>4075</v>
      </c>
      <c r="B99" s="162" t="s">
        <v>4080</v>
      </c>
      <c r="C99" s="162" t="s">
        <v>4081</v>
      </c>
      <c r="D99" s="162" t="s">
        <v>3998</v>
      </c>
      <c r="E99" s="162" t="s">
        <v>4082</v>
      </c>
      <c r="F99" s="162" t="s">
        <v>4083</v>
      </c>
      <c r="G99" s="162" t="s">
        <v>4083</v>
      </c>
      <c r="H99" s="168" t="s">
        <v>45</v>
      </c>
      <c r="I99" s="162" t="s">
        <v>43</v>
      </c>
      <c r="J99" s="162" t="s">
        <v>4084</v>
      </c>
      <c r="K99" s="162" t="s">
        <v>43</v>
      </c>
    </row>
    <row r="100" spans="1:11" ht="75">
      <c r="A100" s="164" t="s">
        <v>4075</v>
      </c>
      <c r="B100" s="162" t="s">
        <v>4085</v>
      </c>
      <c r="C100" s="162" t="s">
        <v>4086</v>
      </c>
      <c r="D100" s="162" t="s">
        <v>3998</v>
      </c>
      <c r="E100" s="162" t="s">
        <v>4087</v>
      </c>
      <c r="F100" s="162" t="s">
        <v>4088</v>
      </c>
      <c r="G100" s="162" t="s">
        <v>4088</v>
      </c>
      <c r="H100" s="168" t="s">
        <v>45</v>
      </c>
      <c r="I100" s="162" t="s">
        <v>43</v>
      </c>
      <c r="J100" s="162" t="s">
        <v>43</v>
      </c>
      <c r="K100" s="162" t="s">
        <v>43</v>
      </c>
    </row>
    <row r="101" spans="1:11" ht="75">
      <c r="A101" s="164" t="s">
        <v>4089</v>
      </c>
      <c r="B101" s="162" t="s">
        <v>4090</v>
      </c>
      <c r="C101" s="162" t="s">
        <v>4091</v>
      </c>
      <c r="D101" s="162" t="s">
        <v>3998</v>
      </c>
      <c r="E101" s="162" t="s">
        <v>4092</v>
      </c>
      <c r="F101" s="162" t="s">
        <v>4093</v>
      </c>
      <c r="G101" s="162" t="s">
        <v>4093</v>
      </c>
      <c r="H101" s="168" t="s">
        <v>45</v>
      </c>
      <c r="I101" s="162" t="s">
        <v>43</v>
      </c>
      <c r="J101" s="162" t="s">
        <v>43</v>
      </c>
      <c r="K101" s="162" t="s">
        <v>43</v>
      </c>
    </row>
    <row r="102" spans="1:11" ht="75">
      <c r="A102" s="164" t="s">
        <v>4089</v>
      </c>
      <c r="B102" s="162" t="s">
        <v>4094</v>
      </c>
      <c r="C102" s="162" t="s">
        <v>4095</v>
      </c>
      <c r="D102" s="162" t="s">
        <v>3998</v>
      </c>
      <c r="E102" s="162" t="s">
        <v>4096</v>
      </c>
      <c r="F102" s="162" t="s">
        <v>4097</v>
      </c>
      <c r="G102" s="162" t="s">
        <v>4097</v>
      </c>
      <c r="H102" s="168" t="s">
        <v>45</v>
      </c>
      <c r="I102" s="162" t="s">
        <v>43</v>
      </c>
      <c r="J102" s="162"/>
      <c r="K102" s="162" t="s">
        <v>43</v>
      </c>
    </row>
    <row r="103" spans="1:11" ht="120">
      <c r="A103" s="164" t="s">
        <v>4098</v>
      </c>
      <c r="B103" s="162" t="s">
        <v>4099</v>
      </c>
      <c r="C103" s="162" t="s">
        <v>4100</v>
      </c>
      <c r="D103" s="162" t="s">
        <v>3998</v>
      </c>
      <c r="E103" s="162" t="s">
        <v>4101</v>
      </c>
      <c r="F103" s="162" t="s">
        <v>4102</v>
      </c>
      <c r="G103" s="162" t="s">
        <v>4102</v>
      </c>
      <c r="H103" s="168" t="s">
        <v>45</v>
      </c>
      <c r="I103" s="162" t="s">
        <v>3888</v>
      </c>
      <c r="J103" s="162" t="s">
        <v>43</v>
      </c>
      <c r="K103" s="162" t="s">
        <v>43</v>
      </c>
    </row>
    <row r="104" spans="1:11" ht="75">
      <c r="A104" s="164" t="s">
        <v>4098</v>
      </c>
      <c r="B104" s="162" t="s">
        <v>4103</v>
      </c>
      <c r="C104" s="162" t="s">
        <v>4104</v>
      </c>
      <c r="D104" s="162" t="s">
        <v>3998</v>
      </c>
      <c r="E104" s="162" t="s">
        <v>4105</v>
      </c>
      <c r="F104" s="162" t="s">
        <v>4106</v>
      </c>
      <c r="G104" s="162" t="s">
        <v>4106</v>
      </c>
      <c r="H104" s="168" t="s">
        <v>45</v>
      </c>
      <c r="I104" s="162" t="s">
        <v>43</v>
      </c>
      <c r="J104" s="162" t="s">
        <v>43</v>
      </c>
      <c r="K104" s="162" t="s">
        <v>43</v>
      </c>
    </row>
    <row r="105" spans="1:11" ht="75">
      <c r="A105" s="164" t="s">
        <v>4098</v>
      </c>
      <c r="B105" s="162" t="s">
        <v>4107</v>
      </c>
      <c r="C105" s="162" t="s">
        <v>4108</v>
      </c>
      <c r="D105" s="162" t="s">
        <v>3998</v>
      </c>
      <c r="E105" s="162" t="s">
        <v>4109</v>
      </c>
      <c r="F105" s="162" t="s">
        <v>4110</v>
      </c>
      <c r="G105" s="162" t="s">
        <v>4110</v>
      </c>
      <c r="H105" s="168" t="s">
        <v>45</v>
      </c>
      <c r="I105" s="162" t="s">
        <v>43</v>
      </c>
      <c r="J105" s="162" t="s">
        <v>43</v>
      </c>
      <c r="K105" s="162" t="s">
        <v>43</v>
      </c>
    </row>
    <row r="106" spans="1:11" ht="75">
      <c r="A106" s="164" t="s">
        <v>4111</v>
      </c>
      <c r="B106" s="162" t="s">
        <v>4112</v>
      </c>
      <c r="C106" s="162" t="s">
        <v>4113</v>
      </c>
      <c r="D106" s="162" t="s">
        <v>3998</v>
      </c>
      <c r="E106" s="162" t="s">
        <v>4114</v>
      </c>
      <c r="F106" s="162" t="s">
        <v>4115</v>
      </c>
      <c r="G106" s="162" t="s">
        <v>4116</v>
      </c>
      <c r="H106" s="168" t="s">
        <v>45</v>
      </c>
      <c r="I106" s="162" t="s">
        <v>43</v>
      </c>
      <c r="J106" s="162"/>
      <c r="K106" s="162" t="s">
        <v>43</v>
      </c>
    </row>
    <row r="107" spans="1:11" ht="75">
      <c r="A107" s="164" t="s">
        <v>4111</v>
      </c>
      <c r="B107" s="162" t="s">
        <v>4117</v>
      </c>
      <c r="C107" s="162" t="s">
        <v>4118</v>
      </c>
      <c r="D107" s="162" t="s">
        <v>3998</v>
      </c>
      <c r="E107" s="162" t="s">
        <v>4119</v>
      </c>
      <c r="F107" s="162" t="s">
        <v>4120</v>
      </c>
      <c r="G107" s="162" t="s">
        <v>4120</v>
      </c>
      <c r="H107" s="168" t="s">
        <v>45</v>
      </c>
      <c r="I107" s="162" t="s">
        <v>43</v>
      </c>
      <c r="J107" s="162" t="s">
        <v>43</v>
      </c>
      <c r="K107" s="162" t="s">
        <v>43</v>
      </c>
    </row>
    <row r="108" spans="1:11" ht="225">
      <c r="A108" s="164" t="s">
        <v>4111</v>
      </c>
      <c r="B108" s="162" t="s">
        <v>4121</v>
      </c>
      <c r="C108" s="162" t="s">
        <v>4122</v>
      </c>
      <c r="D108" s="162" t="s">
        <v>4123</v>
      </c>
      <c r="E108" s="162" t="s">
        <v>4124</v>
      </c>
      <c r="F108" s="162" t="s">
        <v>4125</v>
      </c>
      <c r="G108" s="162" t="s">
        <v>4126</v>
      </c>
      <c r="H108" s="168" t="s">
        <v>45</v>
      </c>
      <c r="I108" s="162" t="s">
        <v>3888</v>
      </c>
      <c r="J108" s="162" t="s">
        <v>4127</v>
      </c>
      <c r="K108" s="162" t="s">
        <v>43</v>
      </c>
    </row>
    <row r="109" spans="1:11" ht="75">
      <c r="A109" s="164" t="s">
        <v>4111</v>
      </c>
      <c r="B109" s="162" t="s">
        <v>4128</v>
      </c>
      <c r="C109" s="162" t="s">
        <v>4129</v>
      </c>
      <c r="D109" s="162" t="s">
        <v>3998</v>
      </c>
      <c r="E109" s="162" t="s">
        <v>4130</v>
      </c>
      <c r="F109" s="162" t="s">
        <v>4131</v>
      </c>
      <c r="G109" s="162" t="s">
        <v>4131</v>
      </c>
      <c r="H109" s="168" t="s">
        <v>45</v>
      </c>
      <c r="I109" s="162" t="s">
        <v>43</v>
      </c>
      <c r="J109" s="162" t="s">
        <v>43</v>
      </c>
      <c r="K109" s="162" t="s">
        <v>43</v>
      </c>
    </row>
    <row r="110" spans="1:11" ht="75">
      <c r="A110" s="164" t="s">
        <v>4111</v>
      </c>
      <c r="B110" s="162" t="s">
        <v>4132</v>
      </c>
      <c r="C110" s="162" t="s">
        <v>4133</v>
      </c>
      <c r="D110" s="162" t="s">
        <v>3998</v>
      </c>
      <c r="E110" s="162" t="s">
        <v>4134</v>
      </c>
      <c r="F110" s="162" t="s">
        <v>4135</v>
      </c>
      <c r="G110" s="162" t="s">
        <v>4135</v>
      </c>
      <c r="H110" s="168" t="s">
        <v>45</v>
      </c>
      <c r="I110" s="162" t="s">
        <v>43</v>
      </c>
      <c r="J110" s="162" t="s">
        <v>43</v>
      </c>
      <c r="K110" s="162" t="s">
        <v>43</v>
      </c>
    </row>
    <row r="111" spans="1:11" ht="75">
      <c r="A111" s="164" t="s">
        <v>4136</v>
      </c>
      <c r="B111" s="162" t="s">
        <v>4137</v>
      </c>
      <c r="C111" s="162" t="s">
        <v>4138</v>
      </c>
      <c r="D111" s="162" t="s">
        <v>3998</v>
      </c>
      <c r="E111" s="162" t="s">
        <v>4139</v>
      </c>
      <c r="F111" s="162" t="s">
        <v>4140</v>
      </c>
      <c r="G111" s="162" t="s">
        <v>4140</v>
      </c>
      <c r="H111" s="168" t="s">
        <v>45</v>
      </c>
      <c r="I111" s="162" t="s">
        <v>43</v>
      </c>
      <c r="J111" s="162" t="s">
        <v>4141</v>
      </c>
      <c r="K111" s="162" t="s">
        <v>43</v>
      </c>
    </row>
    <row r="112" spans="1:11" ht="75">
      <c r="A112" s="164" t="s">
        <v>4136</v>
      </c>
      <c r="B112" s="162" t="s">
        <v>4142</v>
      </c>
      <c r="C112" s="162" t="s">
        <v>4143</v>
      </c>
      <c r="D112" s="162" t="s">
        <v>3998</v>
      </c>
      <c r="E112" s="162" t="s">
        <v>4144</v>
      </c>
      <c r="F112" s="162" t="s">
        <v>4145</v>
      </c>
      <c r="G112" s="162" t="s">
        <v>4145</v>
      </c>
      <c r="H112" s="168" t="s">
        <v>45</v>
      </c>
      <c r="I112" s="162" t="s">
        <v>43</v>
      </c>
      <c r="J112" s="162" t="s">
        <v>4146</v>
      </c>
      <c r="K112" s="162" t="s">
        <v>43</v>
      </c>
    </row>
    <row r="113" spans="1:11" ht="75">
      <c r="A113" s="164" t="s">
        <v>4136</v>
      </c>
      <c r="B113" s="162" t="s">
        <v>4147</v>
      </c>
      <c r="C113" s="162" t="s">
        <v>4148</v>
      </c>
      <c r="D113" s="162" t="s">
        <v>3998</v>
      </c>
      <c r="E113" s="162" t="s">
        <v>4149</v>
      </c>
      <c r="F113" s="162" t="s">
        <v>4150</v>
      </c>
      <c r="G113" s="162" t="s">
        <v>4150</v>
      </c>
      <c r="H113" s="168" t="s">
        <v>45</v>
      </c>
      <c r="I113" s="162" t="s">
        <v>43</v>
      </c>
      <c r="J113" s="162" t="s">
        <v>43</v>
      </c>
      <c r="K113" s="162" t="s">
        <v>43</v>
      </c>
    </row>
    <row r="114" spans="1:11" ht="75">
      <c r="A114" s="164" t="s">
        <v>4136</v>
      </c>
      <c r="B114" s="162" t="s">
        <v>4151</v>
      </c>
      <c r="C114" s="162" t="s">
        <v>4152</v>
      </c>
      <c r="D114" s="162" t="s">
        <v>3998</v>
      </c>
      <c r="E114" s="162" t="s">
        <v>4153</v>
      </c>
      <c r="F114" s="162" t="s">
        <v>4154</v>
      </c>
      <c r="G114" s="162" t="s">
        <v>4154</v>
      </c>
      <c r="H114" s="168" t="s">
        <v>45</v>
      </c>
      <c r="I114" s="162" t="s">
        <v>43</v>
      </c>
      <c r="J114" s="162" t="s">
        <v>43</v>
      </c>
      <c r="K114" s="162" t="s">
        <v>43</v>
      </c>
    </row>
    <row r="115" spans="1:11" ht="75">
      <c r="A115" s="164" t="s">
        <v>4136</v>
      </c>
      <c r="B115" s="162" t="s">
        <v>4155</v>
      </c>
      <c r="C115" s="162" t="s">
        <v>4156</v>
      </c>
      <c r="D115" s="162" t="s">
        <v>3998</v>
      </c>
      <c r="E115" s="162" t="s">
        <v>4157</v>
      </c>
      <c r="F115" s="162" t="s">
        <v>4158</v>
      </c>
      <c r="G115" s="162" t="s">
        <v>4158</v>
      </c>
      <c r="H115" s="168" t="s">
        <v>45</v>
      </c>
      <c r="I115" s="162" t="s">
        <v>43</v>
      </c>
      <c r="J115" s="162" t="s">
        <v>43</v>
      </c>
      <c r="K115" s="162" t="s">
        <v>43</v>
      </c>
    </row>
    <row r="116" spans="1:11" ht="75">
      <c r="A116" s="164" t="s">
        <v>4159</v>
      </c>
      <c r="B116" s="162" t="s">
        <v>4160</v>
      </c>
      <c r="C116" s="162" t="s">
        <v>4161</v>
      </c>
      <c r="D116" s="162" t="s">
        <v>3998</v>
      </c>
      <c r="E116" s="162" t="s">
        <v>4162</v>
      </c>
      <c r="F116" s="162" t="s">
        <v>4163</v>
      </c>
      <c r="G116" s="162" t="s">
        <v>4163</v>
      </c>
      <c r="H116" s="168" t="s">
        <v>45</v>
      </c>
      <c r="I116" s="162" t="s">
        <v>43</v>
      </c>
      <c r="J116" s="162" t="s">
        <v>43</v>
      </c>
      <c r="K116" s="162" t="s">
        <v>43</v>
      </c>
    </row>
    <row r="117" spans="1:11" ht="75">
      <c r="A117" s="164" t="s">
        <v>4159</v>
      </c>
      <c r="B117" s="162" t="s">
        <v>4164</v>
      </c>
      <c r="C117" s="162" t="s">
        <v>4165</v>
      </c>
      <c r="D117" s="162" t="s">
        <v>3998</v>
      </c>
      <c r="E117" s="162" t="s">
        <v>4166</v>
      </c>
      <c r="F117" s="162" t="s">
        <v>4167</v>
      </c>
      <c r="G117" s="162" t="s">
        <v>4167</v>
      </c>
      <c r="H117" s="168" t="s">
        <v>45</v>
      </c>
      <c r="I117" s="162" t="s">
        <v>43</v>
      </c>
      <c r="J117" s="162" t="s">
        <v>43</v>
      </c>
      <c r="K117" s="162" t="s">
        <v>43</v>
      </c>
    </row>
    <row r="118" spans="1:11" ht="90">
      <c r="A118" s="164" t="s">
        <v>4159</v>
      </c>
      <c r="B118" s="162" t="s">
        <v>4168</v>
      </c>
      <c r="C118" s="162" t="s">
        <v>4169</v>
      </c>
      <c r="D118" s="162" t="s">
        <v>3998</v>
      </c>
      <c r="E118" s="162" t="s">
        <v>4170</v>
      </c>
      <c r="F118" s="162" t="s">
        <v>4171</v>
      </c>
      <c r="G118" s="162" t="s">
        <v>4171</v>
      </c>
      <c r="H118" s="168" t="s">
        <v>45</v>
      </c>
      <c r="I118" s="162" t="s">
        <v>43</v>
      </c>
      <c r="J118" s="162" t="s">
        <v>43</v>
      </c>
      <c r="K118" s="162" t="s">
        <v>43</v>
      </c>
    </row>
    <row r="119" spans="1:11" ht="105">
      <c r="A119" s="164" t="s">
        <v>4172</v>
      </c>
      <c r="B119" s="162" t="s">
        <v>4173</v>
      </c>
      <c r="C119" s="162" t="s">
        <v>4174</v>
      </c>
      <c r="D119" s="162" t="s">
        <v>4175</v>
      </c>
      <c r="E119" s="162" t="s">
        <v>4176</v>
      </c>
      <c r="F119" s="162" t="s">
        <v>4177</v>
      </c>
      <c r="G119" s="162" t="s">
        <v>4177</v>
      </c>
      <c r="H119" s="168" t="s">
        <v>45</v>
      </c>
      <c r="I119" s="162" t="s">
        <v>43</v>
      </c>
      <c r="J119" s="162" t="s">
        <v>4178</v>
      </c>
      <c r="K119" s="162" t="s">
        <v>43</v>
      </c>
    </row>
    <row r="120" spans="1:11" ht="120">
      <c r="A120" s="164" t="s">
        <v>4179</v>
      </c>
      <c r="B120" s="162" t="s">
        <v>4180</v>
      </c>
      <c r="C120" s="162" t="s">
        <v>4181</v>
      </c>
      <c r="D120" s="162" t="s">
        <v>4175</v>
      </c>
      <c r="E120" s="162" t="s">
        <v>4182</v>
      </c>
      <c r="F120" s="162" t="s">
        <v>4183</v>
      </c>
      <c r="G120" s="162" t="s">
        <v>4183</v>
      </c>
      <c r="H120" s="168" t="s">
        <v>45</v>
      </c>
      <c r="I120" s="162" t="s">
        <v>3888</v>
      </c>
      <c r="J120" s="162" t="s">
        <v>43</v>
      </c>
      <c r="K120" s="162" t="s">
        <v>43</v>
      </c>
    </row>
    <row r="121" spans="1:11" ht="90">
      <c r="A121" s="164" t="s">
        <v>4184</v>
      </c>
      <c r="B121" s="162" t="s">
        <v>4185</v>
      </c>
      <c r="C121" s="162" t="s">
        <v>4186</v>
      </c>
      <c r="D121" s="162" t="s">
        <v>4187</v>
      </c>
      <c r="E121" s="162" t="s">
        <v>4188</v>
      </c>
      <c r="F121" s="162" t="s">
        <v>4189</v>
      </c>
      <c r="G121" s="162" t="s">
        <v>4190</v>
      </c>
      <c r="H121" s="168" t="s">
        <v>45</v>
      </c>
      <c r="I121" s="162" t="s">
        <v>43</v>
      </c>
      <c r="J121" s="162" t="s">
        <v>43</v>
      </c>
      <c r="K121" s="162" t="s">
        <v>43</v>
      </c>
    </row>
    <row r="122" spans="1:11" ht="314.10000000000002">
      <c r="A122" s="164" t="s">
        <v>4184</v>
      </c>
      <c r="B122" s="162" t="s">
        <v>4191</v>
      </c>
      <c r="C122" s="162" t="s">
        <v>4192</v>
      </c>
      <c r="D122" s="162" t="s">
        <v>4187</v>
      </c>
      <c r="E122" s="162" t="s">
        <v>4193</v>
      </c>
      <c r="F122" s="162" t="s">
        <v>4194</v>
      </c>
      <c r="G122" s="162" t="s">
        <v>4195</v>
      </c>
      <c r="H122" s="168" t="s">
        <v>45</v>
      </c>
      <c r="I122" s="162" t="s">
        <v>4196</v>
      </c>
      <c r="J122" s="162" t="s">
        <v>43</v>
      </c>
      <c r="K122" s="162" t="s">
        <v>43</v>
      </c>
    </row>
    <row r="123" spans="1:11" ht="120">
      <c r="A123" s="164" t="s">
        <v>4184</v>
      </c>
      <c r="B123" s="162" t="s">
        <v>4197</v>
      </c>
      <c r="C123" s="162" t="s">
        <v>4198</v>
      </c>
      <c r="D123" s="162" t="s">
        <v>4187</v>
      </c>
      <c r="E123" s="162" t="s">
        <v>4199</v>
      </c>
      <c r="F123" s="162" t="s">
        <v>4200</v>
      </c>
      <c r="G123" s="162" t="s">
        <v>4201</v>
      </c>
      <c r="H123" s="168" t="s">
        <v>45</v>
      </c>
      <c r="I123" s="162" t="s">
        <v>43</v>
      </c>
      <c r="J123" s="162" t="s">
        <v>43</v>
      </c>
      <c r="K123" s="162" t="s">
        <v>43</v>
      </c>
    </row>
    <row r="124" spans="1:11" ht="90">
      <c r="A124" s="164" t="s">
        <v>4184</v>
      </c>
      <c r="B124" s="162" t="s">
        <v>4202</v>
      </c>
      <c r="C124" s="162" t="s">
        <v>4203</v>
      </c>
      <c r="D124" s="162" t="s">
        <v>4187</v>
      </c>
      <c r="E124" s="162" t="s">
        <v>4204</v>
      </c>
      <c r="F124" s="162" t="s">
        <v>4205</v>
      </c>
      <c r="G124" s="162" t="s">
        <v>4206</v>
      </c>
      <c r="H124" s="168" t="s">
        <v>45</v>
      </c>
      <c r="I124" s="162" t="s">
        <v>43</v>
      </c>
      <c r="J124" s="162" t="s">
        <v>43</v>
      </c>
      <c r="K124" s="162" t="s">
        <v>43</v>
      </c>
    </row>
    <row r="125" spans="1:11" s="142" customFormat="1" ht="90">
      <c r="A125" s="165" t="s">
        <v>4184</v>
      </c>
      <c r="B125" s="163" t="s">
        <v>4207</v>
      </c>
      <c r="C125" s="163" t="s">
        <v>4208</v>
      </c>
      <c r="D125" s="163" t="s">
        <v>4187</v>
      </c>
      <c r="E125" s="163" t="s">
        <v>4209</v>
      </c>
      <c r="F125" s="163" t="s">
        <v>4210</v>
      </c>
      <c r="G125" s="163" t="s">
        <v>4211</v>
      </c>
      <c r="H125" s="169" t="s">
        <v>45</v>
      </c>
      <c r="I125" s="163"/>
      <c r="J125" s="163"/>
      <c r="K125" s="163" t="s">
        <v>43</v>
      </c>
    </row>
    <row r="126" spans="1:11" ht="75">
      <c r="A126" s="164" t="s">
        <v>4184</v>
      </c>
      <c r="B126" s="162" t="s">
        <v>4212</v>
      </c>
      <c r="C126" s="162" t="s">
        <v>4213</v>
      </c>
      <c r="D126" s="162" t="s">
        <v>4187</v>
      </c>
      <c r="E126" s="162" t="s">
        <v>4214</v>
      </c>
      <c r="F126" s="162" t="s">
        <v>4215</v>
      </c>
      <c r="G126" s="162" t="s">
        <v>4216</v>
      </c>
      <c r="H126" s="168" t="s">
        <v>45</v>
      </c>
      <c r="I126" s="162" t="s">
        <v>4217</v>
      </c>
      <c r="J126" s="162" t="s">
        <v>43</v>
      </c>
      <c r="K126" s="162" t="s">
        <v>43</v>
      </c>
    </row>
    <row r="127" spans="1:11" ht="75">
      <c r="A127" s="164" t="s">
        <v>4184</v>
      </c>
      <c r="B127" s="162" t="s">
        <v>4218</v>
      </c>
      <c r="C127" s="162" t="s">
        <v>4219</v>
      </c>
      <c r="D127" s="162" t="s">
        <v>4187</v>
      </c>
      <c r="E127" s="162" t="s">
        <v>4220</v>
      </c>
      <c r="F127" s="162" t="s">
        <v>4221</v>
      </c>
      <c r="G127" s="162" t="s">
        <v>4222</v>
      </c>
      <c r="H127" s="168" t="s">
        <v>45</v>
      </c>
      <c r="I127" s="162" t="s">
        <v>43</v>
      </c>
      <c r="J127" s="162" t="s">
        <v>43</v>
      </c>
      <c r="K127" s="162" t="s">
        <v>43</v>
      </c>
    </row>
    <row r="128" spans="1:11" ht="75">
      <c r="A128" s="164" t="s">
        <v>4184</v>
      </c>
      <c r="B128" s="162" t="s">
        <v>4223</v>
      </c>
      <c r="C128" s="162" t="s">
        <v>4224</v>
      </c>
      <c r="D128" s="162" t="s">
        <v>4187</v>
      </c>
      <c r="E128" s="162" t="s">
        <v>4225</v>
      </c>
      <c r="F128" s="162" t="s">
        <v>4226</v>
      </c>
      <c r="G128" s="162" t="s">
        <v>4226</v>
      </c>
      <c r="H128" s="168" t="s">
        <v>45</v>
      </c>
      <c r="I128" s="162"/>
      <c r="J128" s="162" t="s">
        <v>43</v>
      </c>
      <c r="K128" s="162" t="s">
        <v>43</v>
      </c>
    </row>
    <row r="129" spans="1:11" ht="154.5" customHeight="1">
      <c r="A129" s="164" t="s">
        <v>4184</v>
      </c>
      <c r="B129" s="162" t="s">
        <v>4227</v>
      </c>
      <c r="C129" s="162" t="s">
        <v>4228</v>
      </c>
      <c r="D129" s="162" t="s">
        <v>4187</v>
      </c>
      <c r="E129" s="162" t="s">
        <v>4229</v>
      </c>
      <c r="F129" s="162" t="s">
        <v>4230</v>
      </c>
      <c r="G129" s="162" t="s">
        <v>4230</v>
      </c>
      <c r="H129" s="168" t="s">
        <v>45</v>
      </c>
      <c r="I129" s="162"/>
      <c r="J129" s="162" t="s">
        <v>43</v>
      </c>
      <c r="K129" s="162" t="s">
        <v>43</v>
      </c>
    </row>
    <row r="130" spans="1:11" ht="105">
      <c r="A130" s="164" t="s">
        <v>4184</v>
      </c>
      <c r="B130" s="162" t="s">
        <v>4231</v>
      </c>
      <c r="C130" s="162" t="s">
        <v>4232</v>
      </c>
      <c r="D130" s="162" t="s">
        <v>4187</v>
      </c>
      <c r="E130" s="162" t="s">
        <v>4233</v>
      </c>
      <c r="F130" s="162" t="s">
        <v>4234</v>
      </c>
      <c r="G130" s="162" t="s">
        <v>4211</v>
      </c>
      <c r="H130" s="168" t="s">
        <v>45</v>
      </c>
      <c r="I130" s="162" t="s">
        <v>4235</v>
      </c>
      <c r="J130" s="162" t="s">
        <v>43</v>
      </c>
      <c r="K130" s="162" t="s">
        <v>43</v>
      </c>
    </row>
    <row r="131" spans="1:11" ht="147" customHeight="1">
      <c r="A131" s="164" t="s">
        <v>4236</v>
      </c>
      <c r="B131" s="162" t="s">
        <v>4237</v>
      </c>
      <c r="C131" s="162" t="s">
        <v>4238</v>
      </c>
      <c r="D131" s="162" t="s">
        <v>4239</v>
      </c>
      <c r="E131" s="162" t="s">
        <v>4240</v>
      </c>
      <c r="F131" s="162" t="s">
        <v>4241</v>
      </c>
      <c r="G131" s="162" t="s">
        <v>4241</v>
      </c>
      <c r="H131" s="168" t="s">
        <v>45</v>
      </c>
      <c r="I131" s="162" t="s">
        <v>4242</v>
      </c>
      <c r="J131" s="162" t="s">
        <v>43</v>
      </c>
      <c r="K131" s="162" t="s">
        <v>43</v>
      </c>
    </row>
    <row r="132" spans="1:11" ht="147" customHeight="1">
      <c r="A132" s="164" t="s">
        <v>4243</v>
      </c>
      <c r="B132" s="162" t="s">
        <v>4244</v>
      </c>
      <c r="C132" s="162" t="s">
        <v>4245</v>
      </c>
      <c r="D132" s="162" t="s">
        <v>4239</v>
      </c>
      <c r="E132" s="162" t="s">
        <v>4246</v>
      </c>
      <c r="F132" s="162" t="s">
        <v>4247</v>
      </c>
      <c r="G132" s="162" t="s">
        <v>4247</v>
      </c>
      <c r="H132" s="168" t="s">
        <v>45</v>
      </c>
      <c r="I132" s="162" t="s">
        <v>4248</v>
      </c>
      <c r="J132" s="162" t="s">
        <v>43</v>
      </c>
      <c r="K132" s="162" t="s">
        <v>43</v>
      </c>
    </row>
    <row r="133" spans="1:11" ht="105">
      <c r="A133" s="164" t="s">
        <v>4249</v>
      </c>
      <c r="B133" s="162" t="s">
        <v>4250</v>
      </c>
      <c r="C133" s="162" t="s">
        <v>4251</v>
      </c>
      <c r="D133" s="162" t="s">
        <v>4252</v>
      </c>
      <c r="E133" s="162" t="s">
        <v>4253</v>
      </c>
      <c r="F133" s="162" t="s">
        <v>4254</v>
      </c>
      <c r="G133" s="162" t="s">
        <v>4254</v>
      </c>
      <c r="H133" s="168" t="s">
        <v>45</v>
      </c>
      <c r="I133" s="162" t="s">
        <v>43</v>
      </c>
      <c r="J133" s="40"/>
      <c r="K133" s="40"/>
    </row>
    <row r="134" spans="1:11" ht="120">
      <c r="A134" s="164" t="s">
        <v>4249</v>
      </c>
      <c r="B134" s="162" t="s">
        <v>4255</v>
      </c>
      <c r="C134" s="162" t="s">
        <v>4256</v>
      </c>
      <c r="D134" s="162" t="s">
        <v>4252</v>
      </c>
      <c r="E134" s="162" t="s">
        <v>4257</v>
      </c>
      <c r="F134" s="162" t="s">
        <v>4258</v>
      </c>
      <c r="G134" s="162" t="s">
        <v>4258</v>
      </c>
      <c r="H134" s="168" t="s">
        <v>45</v>
      </c>
      <c r="I134" s="162" t="s">
        <v>43</v>
      </c>
      <c r="J134" s="40"/>
      <c r="K134" s="40"/>
    </row>
    <row r="135" spans="1:11" ht="90">
      <c r="A135" s="164" t="s">
        <v>4259</v>
      </c>
      <c r="B135" s="162" t="s">
        <v>4260</v>
      </c>
      <c r="C135" s="162" t="s">
        <v>4261</v>
      </c>
      <c r="D135" s="162" t="s">
        <v>4252</v>
      </c>
      <c r="E135" s="162" t="s">
        <v>4262</v>
      </c>
      <c r="F135" s="162" t="s">
        <v>4263</v>
      </c>
      <c r="G135" s="162" t="s">
        <v>4263</v>
      </c>
      <c r="H135" s="168" t="s">
        <v>45</v>
      </c>
      <c r="I135" s="162" t="s">
        <v>43</v>
      </c>
      <c r="J135" s="40"/>
      <c r="K135" s="40"/>
    </row>
    <row r="136" spans="1:11" ht="105">
      <c r="A136" s="164" t="s">
        <v>4259</v>
      </c>
      <c r="B136" s="162" t="s">
        <v>4264</v>
      </c>
      <c r="C136" s="162" t="s">
        <v>4265</v>
      </c>
      <c r="D136" s="162" t="s">
        <v>4252</v>
      </c>
      <c r="E136" s="162" t="s">
        <v>4266</v>
      </c>
      <c r="F136" s="162" t="s">
        <v>4267</v>
      </c>
      <c r="G136" s="162" t="s">
        <v>4267</v>
      </c>
      <c r="H136" s="168" t="s">
        <v>45</v>
      </c>
      <c r="I136" s="162" t="s">
        <v>43</v>
      </c>
      <c r="J136" s="40"/>
      <c r="K136" s="40"/>
    </row>
    <row r="137" spans="1:11" ht="90">
      <c r="A137" s="164" t="s">
        <v>4268</v>
      </c>
      <c r="B137" s="162" t="s">
        <v>4269</v>
      </c>
      <c r="C137" s="162" t="s">
        <v>4270</v>
      </c>
      <c r="D137" s="162" t="s">
        <v>4252</v>
      </c>
      <c r="E137" s="162" t="s">
        <v>4271</v>
      </c>
      <c r="F137" s="162" t="s">
        <v>4272</v>
      </c>
      <c r="G137" s="162" t="s">
        <v>4272</v>
      </c>
      <c r="H137" s="168" t="s">
        <v>45</v>
      </c>
      <c r="I137" s="162" t="s">
        <v>43</v>
      </c>
      <c r="J137" s="40"/>
      <c r="K137" s="40"/>
    </row>
    <row r="138" spans="1:11" ht="90">
      <c r="A138" s="164" t="s">
        <v>4268</v>
      </c>
      <c r="B138" s="162" t="s">
        <v>4273</v>
      </c>
      <c r="C138" s="162" t="s">
        <v>4274</v>
      </c>
      <c r="D138" s="162" t="s">
        <v>4252</v>
      </c>
      <c r="E138" s="162" t="s">
        <v>4275</v>
      </c>
      <c r="F138" s="162" t="s">
        <v>4276</v>
      </c>
      <c r="G138" s="162" t="s">
        <v>4276</v>
      </c>
      <c r="H138" s="168" t="s">
        <v>45</v>
      </c>
      <c r="I138" s="162" t="s">
        <v>43</v>
      </c>
      <c r="J138" s="40"/>
      <c r="K138" s="40"/>
    </row>
    <row r="139" spans="1:11" ht="90">
      <c r="A139" s="164" t="s">
        <v>4277</v>
      </c>
      <c r="B139" s="162" t="s">
        <v>4278</v>
      </c>
      <c r="C139" s="162" t="s">
        <v>4279</v>
      </c>
      <c r="D139" s="162" t="s">
        <v>4280</v>
      </c>
      <c r="E139" s="162" t="s">
        <v>4281</v>
      </c>
      <c r="F139" s="162" t="s">
        <v>4282</v>
      </c>
      <c r="G139" s="162" t="s">
        <v>4282</v>
      </c>
      <c r="H139" s="168" t="s">
        <v>45</v>
      </c>
      <c r="I139" s="162" t="s">
        <v>43</v>
      </c>
      <c r="J139" s="40"/>
      <c r="K139" s="40"/>
    </row>
    <row r="140" spans="1:11" ht="90">
      <c r="A140" s="164" t="s">
        <v>4277</v>
      </c>
      <c r="B140" s="162" t="s">
        <v>4283</v>
      </c>
      <c r="C140" s="162" t="s">
        <v>4284</v>
      </c>
      <c r="D140" s="162" t="s">
        <v>4280</v>
      </c>
      <c r="E140" s="162" t="s">
        <v>4285</v>
      </c>
      <c r="F140" s="162" t="s">
        <v>4286</v>
      </c>
      <c r="G140" s="162" t="s">
        <v>4286</v>
      </c>
      <c r="H140" s="168" t="s">
        <v>45</v>
      </c>
      <c r="I140" s="162" t="s">
        <v>43</v>
      </c>
      <c r="J140" s="40"/>
      <c r="K140" s="40"/>
    </row>
    <row r="141" spans="1:11" ht="105">
      <c r="A141" s="164" t="s">
        <v>4277</v>
      </c>
      <c r="B141" s="162" t="s">
        <v>4287</v>
      </c>
      <c r="C141" s="162" t="s">
        <v>4288</v>
      </c>
      <c r="D141" s="162" t="s">
        <v>4280</v>
      </c>
      <c r="E141" s="162" t="s">
        <v>4289</v>
      </c>
      <c r="F141" s="162" t="s">
        <v>4290</v>
      </c>
      <c r="G141" s="162" t="s">
        <v>4290</v>
      </c>
      <c r="H141" s="168" t="s">
        <v>45</v>
      </c>
      <c r="I141" s="162" t="s">
        <v>43</v>
      </c>
      <c r="J141" s="40"/>
      <c r="K141" s="40"/>
    </row>
    <row r="142" spans="1:11" ht="90">
      <c r="A142" s="164" t="s">
        <v>4277</v>
      </c>
      <c r="B142" s="162" t="s">
        <v>4291</v>
      </c>
      <c r="C142" s="162" t="s">
        <v>4292</v>
      </c>
      <c r="D142" s="162" t="s">
        <v>4280</v>
      </c>
      <c r="E142" s="162" t="s">
        <v>4293</v>
      </c>
      <c r="F142" s="162" t="s">
        <v>4294</v>
      </c>
      <c r="G142" s="162" t="s">
        <v>4294</v>
      </c>
      <c r="H142" s="168" t="s">
        <v>45</v>
      </c>
      <c r="I142" s="162" t="s">
        <v>43</v>
      </c>
      <c r="J142" s="40"/>
      <c r="K142" s="40"/>
    </row>
    <row r="143" spans="1:11" ht="105">
      <c r="A143" s="164" t="s">
        <v>4295</v>
      </c>
      <c r="B143" s="162" t="s">
        <v>4296</v>
      </c>
      <c r="C143" s="162" t="s">
        <v>4297</v>
      </c>
      <c r="D143" s="162" t="s">
        <v>4298</v>
      </c>
      <c r="E143" s="162" t="s">
        <v>4299</v>
      </c>
      <c r="F143" s="162" t="s">
        <v>4300</v>
      </c>
      <c r="G143" s="162" t="s">
        <v>4300</v>
      </c>
      <c r="H143" s="168" t="s">
        <v>45</v>
      </c>
      <c r="I143" s="162" t="s">
        <v>43</v>
      </c>
      <c r="J143" s="40"/>
      <c r="K143" s="40"/>
    </row>
    <row r="144" spans="1:11" ht="105">
      <c r="A144" s="164" t="s">
        <v>4295</v>
      </c>
      <c r="B144" s="162" t="s">
        <v>4301</v>
      </c>
      <c r="C144" s="162" t="s">
        <v>4302</v>
      </c>
      <c r="D144" s="162" t="s">
        <v>4298</v>
      </c>
      <c r="E144" s="162" t="s">
        <v>4303</v>
      </c>
      <c r="F144" s="162" t="s">
        <v>4304</v>
      </c>
      <c r="G144" s="162" t="s">
        <v>4304</v>
      </c>
      <c r="H144" s="168" t="s">
        <v>45</v>
      </c>
      <c r="I144" s="162" t="s">
        <v>43</v>
      </c>
      <c r="J144" s="40"/>
      <c r="K144" s="40"/>
    </row>
    <row r="145" spans="1:11" ht="105">
      <c r="A145" s="164" t="s">
        <v>4295</v>
      </c>
      <c r="B145" s="162" t="s">
        <v>4305</v>
      </c>
      <c r="C145" s="162" t="s">
        <v>4306</v>
      </c>
      <c r="D145" s="162" t="s">
        <v>4298</v>
      </c>
      <c r="E145" s="162" t="s">
        <v>4307</v>
      </c>
      <c r="F145" s="162" t="s">
        <v>4308</v>
      </c>
      <c r="G145" s="162" t="s">
        <v>4308</v>
      </c>
      <c r="H145" s="168" t="s">
        <v>45</v>
      </c>
      <c r="I145" s="162" t="s">
        <v>43</v>
      </c>
      <c r="J145" s="40"/>
      <c r="K145" s="40"/>
    </row>
    <row r="146" spans="1:11" ht="105">
      <c r="A146" s="164" t="s">
        <v>4309</v>
      </c>
      <c r="B146" s="162" t="s">
        <v>4310</v>
      </c>
      <c r="C146" s="162" t="s">
        <v>4311</v>
      </c>
      <c r="D146" s="162" t="s">
        <v>4298</v>
      </c>
      <c r="E146" s="162" t="s">
        <v>4312</v>
      </c>
      <c r="F146" s="162" t="s">
        <v>4313</v>
      </c>
      <c r="G146" s="162" t="s">
        <v>4313</v>
      </c>
      <c r="H146" s="168" t="s">
        <v>45</v>
      </c>
      <c r="I146" s="162" t="s">
        <v>43</v>
      </c>
      <c r="J146" s="40"/>
      <c r="K146" s="40"/>
    </row>
    <row r="147" spans="1:11" ht="90">
      <c r="A147" s="164" t="s">
        <v>4309</v>
      </c>
      <c r="B147" s="162" t="s">
        <v>4314</v>
      </c>
      <c r="C147" s="162" t="s">
        <v>4315</v>
      </c>
      <c r="D147" s="162" t="s">
        <v>4298</v>
      </c>
      <c r="E147" s="162" t="s">
        <v>4316</v>
      </c>
      <c r="F147" s="162" t="s">
        <v>4317</v>
      </c>
      <c r="G147" s="162" t="s">
        <v>4317</v>
      </c>
      <c r="H147" s="168" t="s">
        <v>45</v>
      </c>
      <c r="I147" s="162" t="s">
        <v>43</v>
      </c>
      <c r="J147" s="40"/>
      <c r="K147" s="40"/>
    </row>
    <row r="148" spans="1:11" ht="120">
      <c r="A148" s="164" t="s">
        <v>4318</v>
      </c>
      <c r="B148" s="162" t="s">
        <v>4319</v>
      </c>
      <c r="C148" s="162" t="s">
        <v>4320</v>
      </c>
      <c r="D148" s="162" t="s">
        <v>4321</v>
      </c>
      <c r="E148" s="162" t="s">
        <v>4322</v>
      </c>
      <c r="F148" s="162" t="s">
        <v>4323</v>
      </c>
      <c r="G148" s="162" t="s">
        <v>4324</v>
      </c>
      <c r="H148" s="168" t="s">
        <v>45</v>
      </c>
      <c r="I148" s="162" t="s">
        <v>43</v>
      </c>
      <c r="J148" s="40"/>
      <c r="K148" s="40"/>
    </row>
    <row r="149" spans="1:11" ht="120">
      <c r="A149" s="164" t="s">
        <v>4325</v>
      </c>
      <c r="B149" s="162" t="s">
        <v>4326</v>
      </c>
      <c r="C149" s="162" t="s">
        <v>4327</v>
      </c>
      <c r="D149" s="162" t="s">
        <v>4321</v>
      </c>
      <c r="E149" s="162" t="s">
        <v>4328</v>
      </c>
      <c r="F149" s="162" t="s">
        <v>4329</v>
      </c>
      <c r="G149" s="162" t="s">
        <v>4330</v>
      </c>
      <c r="H149" s="168" t="s">
        <v>45</v>
      </c>
      <c r="I149" s="162" t="s">
        <v>43</v>
      </c>
      <c r="J149" s="40"/>
      <c r="K149" s="40"/>
    </row>
    <row r="150" spans="1:11" ht="342">
      <c r="A150" s="164" t="s">
        <v>4331</v>
      </c>
      <c r="B150" s="162" t="s">
        <v>4332</v>
      </c>
      <c r="C150" s="162" t="s">
        <v>4333</v>
      </c>
      <c r="D150" s="162" t="s">
        <v>4334</v>
      </c>
      <c r="E150" s="162" t="s">
        <v>4335</v>
      </c>
      <c r="F150" s="162" t="s">
        <v>4336</v>
      </c>
      <c r="G150" s="162" t="s">
        <v>4337</v>
      </c>
      <c r="H150" s="168" t="s">
        <v>45</v>
      </c>
      <c r="I150" s="162" t="s">
        <v>4338</v>
      </c>
      <c r="J150" s="40"/>
      <c r="K150" s="40"/>
    </row>
    <row r="151" spans="1:11" ht="327.95">
      <c r="A151" s="164" t="s">
        <v>4339</v>
      </c>
      <c r="B151" s="162" t="s">
        <v>4340</v>
      </c>
      <c r="C151" s="162" t="s">
        <v>4341</v>
      </c>
      <c r="D151" s="162" t="s">
        <v>4334</v>
      </c>
      <c r="E151" s="162" t="s">
        <v>4342</v>
      </c>
      <c r="F151" s="162" t="s">
        <v>4343</v>
      </c>
      <c r="G151" s="162" t="s">
        <v>4344</v>
      </c>
      <c r="H151" s="168" t="s">
        <v>45</v>
      </c>
      <c r="I151" s="162" t="s">
        <v>4345</v>
      </c>
      <c r="J151" s="40"/>
      <c r="K151" s="40"/>
    </row>
    <row r="152" spans="1:11" ht="342">
      <c r="A152" s="164" t="s">
        <v>4346</v>
      </c>
      <c r="B152" s="162" t="s">
        <v>4347</v>
      </c>
      <c r="C152" s="162" t="s">
        <v>4348</v>
      </c>
      <c r="D152" s="162" t="s">
        <v>4334</v>
      </c>
      <c r="E152" s="162" t="s">
        <v>4349</v>
      </c>
      <c r="F152" s="162" t="s">
        <v>4350</v>
      </c>
      <c r="G152" s="162" t="s">
        <v>4351</v>
      </c>
      <c r="H152" s="168" t="s">
        <v>45</v>
      </c>
      <c r="I152" s="162" t="s">
        <v>4352</v>
      </c>
      <c r="J152" s="40"/>
      <c r="K152" s="40"/>
    </row>
    <row r="153" spans="1:11" ht="356.1">
      <c r="A153" s="164" t="s">
        <v>4353</v>
      </c>
      <c r="B153" s="162" t="s">
        <v>4354</v>
      </c>
      <c r="C153" s="162" t="s">
        <v>4355</v>
      </c>
      <c r="D153" s="162" t="s">
        <v>4334</v>
      </c>
      <c r="E153" s="162" t="s">
        <v>4356</v>
      </c>
      <c r="F153" s="162" t="s">
        <v>4357</v>
      </c>
      <c r="G153" s="162" t="s">
        <v>4358</v>
      </c>
      <c r="H153" s="168" t="s">
        <v>45</v>
      </c>
      <c r="I153" s="162" t="s">
        <v>4359</v>
      </c>
      <c r="J153" s="40"/>
      <c r="K153" s="40"/>
    </row>
    <row r="154" spans="1:11" ht="314.10000000000002">
      <c r="A154" s="164" t="s">
        <v>4360</v>
      </c>
      <c r="B154" s="162" t="s">
        <v>4361</v>
      </c>
      <c r="C154" s="162" t="s">
        <v>4362</v>
      </c>
      <c r="D154" s="162" t="s">
        <v>4334</v>
      </c>
      <c r="E154" s="162" t="s">
        <v>4363</v>
      </c>
      <c r="F154" s="162" t="s">
        <v>4364</v>
      </c>
      <c r="G154" s="162" t="s">
        <v>4365</v>
      </c>
      <c r="H154" s="168" t="s">
        <v>45</v>
      </c>
      <c r="I154" s="162" t="s">
        <v>4366</v>
      </c>
      <c r="J154" s="40"/>
      <c r="K154" s="40"/>
    </row>
    <row r="155" spans="1:11" ht="342">
      <c r="A155" s="164" t="s">
        <v>4367</v>
      </c>
      <c r="B155" s="162" t="s">
        <v>4368</v>
      </c>
      <c r="C155" s="162" t="s">
        <v>4369</v>
      </c>
      <c r="D155" s="162" t="s">
        <v>4334</v>
      </c>
      <c r="E155" s="162" t="s">
        <v>4370</v>
      </c>
      <c r="F155" s="162" t="s">
        <v>4371</v>
      </c>
      <c r="G155" s="162" t="s">
        <v>4372</v>
      </c>
      <c r="H155" s="168" t="s">
        <v>45</v>
      </c>
      <c r="I155" s="162" t="s">
        <v>4373</v>
      </c>
      <c r="J155" s="40"/>
      <c r="K155" s="40"/>
    </row>
    <row r="156" spans="1:11" ht="165">
      <c r="A156" s="164" t="s">
        <v>4374</v>
      </c>
      <c r="B156" s="162" t="s">
        <v>4375</v>
      </c>
      <c r="C156" s="162" t="s">
        <v>4376</v>
      </c>
      <c r="D156" s="162" t="s">
        <v>4377</v>
      </c>
      <c r="E156" s="162" t="s">
        <v>4378</v>
      </c>
      <c r="F156" s="162" t="s">
        <v>4379</v>
      </c>
      <c r="G156" s="162" t="s">
        <v>4380</v>
      </c>
      <c r="H156" s="168" t="s">
        <v>45</v>
      </c>
      <c r="I156" s="162" t="s">
        <v>4381</v>
      </c>
      <c r="J156" s="40"/>
      <c r="K156" s="40"/>
    </row>
    <row r="157" spans="1:11" ht="120">
      <c r="A157" s="164" t="s">
        <v>4382</v>
      </c>
      <c r="B157" s="162" t="s">
        <v>4383</v>
      </c>
      <c r="C157" s="162" t="s">
        <v>4384</v>
      </c>
      <c r="D157" s="162" t="s">
        <v>4385</v>
      </c>
      <c r="E157" s="162" t="s">
        <v>4386</v>
      </c>
      <c r="F157" s="162" t="s">
        <v>4387</v>
      </c>
      <c r="G157" s="162" t="s">
        <v>4388</v>
      </c>
      <c r="H157" s="168" t="s">
        <v>45</v>
      </c>
      <c r="I157" s="162"/>
      <c r="J157" s="40"/>
      <c r="K157" s="40"/>
    </row>
    <row r="158" spans="1:11" ht="105">
      <c r="A158" s="164" t="s">
        <v>4389</v>
      </c>
      <c r="B158" s="162" t="s">
        <v>4390</v>
      </c>
      <c r="C158" s="162" t="s">
        <v>4391</v>
      </c>
      <c r="D158" s="162" t="s">
        <v>4392</v>
      </c>
      <c r="E158" s="162" t="s">
        <v>4393</v>
      </c>
      <c r="F158" s="162" t="s">
        <v>4394</v>
      </c>
      <c r="G158" s="162" t="s">
        <v>4395</v>
      </c>
      <c r="H158" s="168" t="s">
        <v>45</v>
      </c>
      <c r="I158" s="162" t="s">
        <v>1082</v>
      </c>
      <c r="J158" s="40"/>
      <c r="K158" s="40"/>
    </row>
    <row r="159" spans="1:11" ht="90">
      <c r="A159" s="164" t="s">
        <v>4396</v>
      </c>
      <c r="B159" s="162" t="s">
        <v>4397</v>
      </c>
      <c r="C159" s="162" t="s">
        <v>4398</v>
      </c>
      <c r="D159" s="162" t="s">
        <v>4399</v>
      </c>
      <c r="E159" s="162" t="s">
        <v>4400</v>
      </c>
      <c r="F159" s="162" t="s">
        <v>4401</v>
      </c>
      <c r="G159" s="162" t="s">
        <v>4402</v>
      </c>
      <c r="H159" s="168" t="s">
        <v>45</v>
      </c>
      <c r="I159" s="162" t="s">
        <v>1082</v>
      </c>
      <c r="J159" s="40"/>
      <c r="K159" s="40"/>
    </row>
    <row r="160" spans="1:11" ht="75">
      <c r="A160" s="164" t="s">
        <v>4403</v>
      </c>
      <c r="B160" s="162" t="s">
        <v>4404</v>
      </c>
      <c r="C160" s="162" t="s">
        <v>4405</v>
      </c>
      <c r="D160" s="162" t="s">
        <v>4406</v>
      </c>
      <c r="E160" s="162" t="s">
        <v>4407</v>
      </c>
      <c r="F160" s="162" t="s">
        <v>4408</v>
      </c>
      <c r="G160" s="162" t="s">
        <v>4409</v>
      </c>
      <c r="H160" s="168" t="s">
        <v>45</v>
      </c>
      <c r="I160" s="162" t="s">
        <v>4410</v>
      </c>
      <c r="J160" s="40"/>
      <c r="K160" s="40"/>
    </row>
    <row r="161" spans="1:11" ht="60">
      <c r="A161" s="164" t="s">
        <v>4411</v>
      </c>
      <c r="B161" s="162" t="s">
        <v>4412</v>
      </c>
      <c r="C161" s="162" t="s">
        <v>4413</v>
      </c>
      <c r="D161" s="162" t="s">
        <v>4406</v>
      </c>
      <c r="E161" s="162" t="s">
        <v>4414</v>
      </c>
      <c r="F161" s="162" t="s">
        <v>4415</v>
      </c>
      <c r="G161" s="162" t="s">
        <v>4416</v>
      </c>
      <c r="H161" s="168" t="s">
        <v>45</v>
      </c>
      <c r="I161" s="162"/>
      <c r="J161" s="40"/>
      <c r="K161" s="40"/>
    </row>
    <row r="162" spans="1:11" ht="135">
      <c r="A162" s="164" t="s">
        <v>4417</v>
      </c>
      <c r="B162" s="162" t="s">
        <v>4418</v>
      </c>
      <c r="C162" s="162" t="s">
        <v>4419</v>
      </c>
      <c r="D162" s="162" t="s">
        <v>4420</v>
      </c>
      <c r="E162" s="162" t="s">
        <v>4421</v>
      </c>
      <c r="F162" s="162" t="s">
        <v>4422</v>
      </c>
      <c r="G162" s="162" t="s">
        <v>4423</v>
      </c>
      <c r="H162" s="168" t="s">
        <v>45</v>
      </c>
      <c r="I162" s="162" t="s">
        <v>4424</v>
      </c>
      <c r="J162" s="40"/>
      <c r="K162" s="40"/>
    </row>
    <row r="163" spans="1:11" ht="255">
      <c r="A163" s="164" t="s">
        <v>4425</v>
      </c>
      <c r="B163" s="162" t="s">
        <v>4426</v>
      </c>
      <c r="C163" s="162" t="s">
        <v>4427</v>
      </c>
      <c r="D163" s="162" t="s">
        <v>4428</v>
      </c>
      <c r="E163" s="162" t="s">
        <v>4429</v>
      </c>
      <c r="F163" s="162" t="s">
        <v>4430</v>
      </c>
      <c r="G163" s="162" t="s">
        <v>4431</v>
      </c>
      <c r="H163" s="168" t="s">
        <v>45</v>
      </c>
      <c r="I163" s="162" t="s">
        <v>4432</v>
      </c>
      <c r="J163" s="40"/>
      <c r="K163" s="40"/>
    </row>
    <row r="164" spans="1:11" ht="90">
      <c r="A164" s="164" t="s">
        <v>4433</v>
      </c>
      <c r="B164" s="162" t="s">
        <v>4434</v>
      </c>
      <c r="C164" s="162" t="s">
        <v>4435</v>
      </c>
      <c r="D164" s="162" t="s">
        <v>4436</v>
      </c>
      <c r="E164" s="162" t="s">
        <v>4437</v>
      </c>
      <c r="F164" s="162" t="s">
        <v>4387</v>
      </c>
      <c r="G164" s="162" t="s">
        <v>4438</v>
      </c>
      <c r="H164" s="168" t="s">
        <v>45</v>
      </c>
      <c r="I164" s="162" t="s">
        <v>4439</v>
      </c>
      <c r="J164" s="40"/>
      <c r="K164" s="40"/>
    </row>
    <row r="165" spans="1:11" ht="75">
      <c r="A165" s="164" t="s">
        <v>4440</v>
      </c>
      <c r="B165" s="162" t="s">
        <v>4441</v>
      </c>
      <c r="C165" s="162" t="s">
        <v>4435</v>
      </c>
      <c r="D165" s="162" t="s">
        <v>4436</v>
      </c>
      <c r="E165" s="162" t="s">
        <v>4437</v>
      </c>
      <c r="F165" s="162" t="s">
        <v>4387</v>
      </c>
      <c r="G165" s="162"/>
      <c r="H165" s="168" t="s">
        <v>45</v>
      </c>
      <c r="I165" s="162"/>
      <c r="J165" s="40"/>
      <c r="K165" s="40"/>
    </row>
    <row r="166" spans="1:11" ht="135">
      <c r="A166" s="164" t="s">
        <v>4442</v>
      </c>
      <c r="B166" s="162" t="s">
        <v>4443</v>
      </c>
      <c r="C166" s="162" t="s">
        <v>4444</v>
      </c>
      <c r="D166" s="162" t="s">
        <v>4445</v>
      </c>
      <c r="E166" s="162" t="s">
        <v>4446</v>
      </c>
      <c r="F166" s="162" t="s">
        <v>4447</v>
      </c>
      <c r="G166" s="162" t="s">
        <v>4211</v>
      </c>
      <c r="H166" s="168" t="s">
        <v>45</v>
      </c>
      <c r="I166" s="162" t="s">
        <v>4448</v>
      </c>
      <c r="J166" s="40"/>
      <c r="K166" s="40"/>
    </row>
    <row r="167" spans="1:11" ht="150">
      <c r="A167" s="164" t="s">
        <v>4449</v>
      </c>
      <c r="B167" s="162" t="s">
        <v>4450</v>
      </c>
      <c r="C167" s="162" t="s">
        <v>4451</v>
      </c>
      <c r="D167" s="162" t="s">
        <v>4452</v>
      </c>
      <c r="E167" s="162" t="s">
        <v>4453</v>
      </c>
      <c r="F167" s="162" t="s">
        <v>4447</v>
      </c>
      <c r="G167" s="162" t="s">
        <v>4454</v>
      </c>
      <c r="H167" s="168" t="s">
        <v>45</v>
      </c>
      <c r="I167" s="162" t="s">
        <v>4455</v>
      </c>
      <c r="J167" s="40"/>
      <c r="K167" s="40"/>
    </row>
    <row r="168" spans="1:11" ht="135">
      <c r="A168" s="164" t="s">
        <v>4456</v>
      </c>
      <c r="B168" s="162" t="s">
        <v>4457</v>
      </c>
      <c r="C168" s="162" t="s">
        <v>4458</v>
      </c>
      <c r="D168" s="162" t="s">
        <v>4459</v>
      </c>
      <c r="E168" s="162" t="s">
        <v>4460</v>
      </c>
      <c r="F168" s="162" t="s">
        <v>4447</v>
      </c>
      <c r="G168" s="162" t="s">
        <v>4211</v>
      </c>
      <c r="H168" s="168" t="s">
        <v>45</v>
      </c>
      <c r="I168" s="162" t="s">
        <v>4448</v>
      </c>
      <c r="J168" s="40"/>
      <c r="K168" s="40"/>
    </row>
    <row r="169" spans="1:11" ht="135">
      <c r="A169" s="164" t="s">
        <v>4461</v>
      </c>
      <c r="B169" s="162" t="s">
        <v>4462</v>
      </c>
      <c r="C169" s="162" t="s">
        <v>4463</v>
      </c>
      <c r="D169" s="162" t="s">
        <v>4464</v>
      </c>
      <c r="E169" s="162" t="s">
        <v>4465</v>
      </c>
      <c r="F169" s="162" t="s">
        <v>4447</v>
      </c>
      <c r="G169" s="162" t="s">
        <v>4466</v>
      </c>
      <c r="H169" s="136" t="s">
        <v>173</v>
      </c>
      <c r="I169" s="162" t="s">
        <v>4467</v>
      </c>
      <c r="J169" s="40"/>
      <c r="K169" s="40"/>
    </row>
    <row r="170" spans="1:11" ht="90">
      <c r="A170" s="164" t="s">
        <v>4468</v>
      </c>
      <c r="B170" s="162" t="s">
        <v>4469</v>
      </c>
      <c r="C170" s="162" t="s">
        <v>4470</v>
      </c>
      <c r="D170" s="162" t="s">
        <v>4399</v>
      </c>
      <c r="E170" s="162" t="s">
        <v>4471</v>
      </c>
      <c r="F170" s="162" t="s">
        <v>4472</v>
      </c>
      <c r="G170" s="162" t="s">
        <v>4473</v>
      </c>
      <c r="H170" s="168" t="s">
        <v>45</v>
      </c>
      <c r="I170" s="162" t="s">
        <v>4474</v>
      </c>
      <c r="J170" s="40"/>
      <c r="K170" s="40"/>
    </row>
    <row r="171" spans="1:11" ht="60">
      <c r="A171" s="164" t="s">
        <v>4389</v>
      </c>
      <c r="B171" s="162" t="s">
        <v>4475</v>
      </c>
      <c r="C171" s="162" t="s">
        <v>4476</v>
      </c>
      <c r="D171" s="162" t="s">
        <v>4399</v>
      </c>
      <c r="E171" s="162" t="s">
        <v>4477</v>
      </c>
      <c r="F171" s="162" t="s">
        <v>4478</v>
      </c>
      <c r="G171" s="162" t="s">
        <v>4479</v>
      </c>
      <c r="H171" s="168" t="s">
        <v>45</v>
      </c>
      <c r="I171" s="162"/>
      <c r="J171" s="40"/>
      <c r="K171" s="40"/>
    </row>
    <row r="172" spans="1:11" ht="120">
      <c r="A172" s="164" t="s">
        <v>4480</v>
      </c>
      <c r="B172" s="162" t="s">
        <v>4481</v>
      </c>
      <c r="C172" s="162" t="s">
        <v>4482</v>
      </c>
      <c r="D172" s="162" t="s">
        <v>4483</v>
      </c>
      <c r="E172" s="162" t="s">
        <v>4484</v>
      </c>
      <c r="F172" s="162" t="s">
        <v>4485</v>
      </c>
      <c r="G172" s="162" t="s">
        <v>4486</v>
      </c>
      <c r="H172" s="168" t="s">
        <v>45</v>
      </c>
      <c r="I172" s="162" t="s">
        <v>4487</v>
      </c>
      <c r="J172" s="40"/>
      <c r="K172" s="40"/>
    </row>
    <row r="173" spans="1:11" ht="90">
      <c r="A173" s="164" t="s">
        <v>4396</v>
      </c>
      <c r="B173" s="162" t="s">
        <v>4488</v>
      </c>
      <c r="C173" s="162" t="s">
        <v>4489</v>
      </c>
      <c r="D173" s="162" t="s">
        <v>4399</v>
      </c>
      <c r="E173" s="162" t="s">
        <v>4490</v>
      </c>
      <c r="F173" s="162" t="s">
        <v>4491</v>
      </c>
      <c r="G173" s="162" t="s">
        <v>4402</v>
      </c>
      <c r="H173" s="168" t="s">
        <v>45</v>
      </c>
      <c r="I173" s="162"/>
      <c r="J173" s="40"/>
      <c r="K173" s="40"/>
    </row>
    <row r="174" spans="1:11" ht="105">
      <c r="A174" s="164" t="s">
        <v>4492</v>
      </c>
      <c r="B174" s="162" t="s">
        <v>4493</v>
      </c>
      <c r="C174" s="162" t="s">
        <v>4494</v>
      </c>
      <c r="D174" s="162" t="s">
        <v>4399</v>
      </c>
      <c r="E174" s="162" t="s">
        <v>4495</v>
      </c>
      <c r="F174" s="162" t="s">
        <v>4496</v>
      </c>
      <c r="G174" s="162" t="s">
        <v>4497</v>
      </c>
      <c r="H174" s="168" t="s">
        <v>45</v>
      </c>
      <c r="I174" s="162"/>
      <c r="J174" s="40"/>
      <c r="K174" s="40"/>
    </row>
    <row r="175" spans="1:11" ht="90">
      <c r="A175" s="164" t="s">
        <v>4498</v>
      </c>
      <c r="B175" s="162" t="s">
        <v>4499</v>
      </c>
      <c r="C175" s="162" t="s">
        <v>4500</v>
      </c>
      <c r="D175" s="162" t="s">
        <v>4399</v>
      </c>
      <c r="E175" s="162" t="s">
        <v>4501</v>
      </c>
      <c r="F175" s="162" t="s">
        <v>4502</v>
      </c>
      <c r="G175" s="162" t="s">
        <v>4503</v>
      </c>
      <c r="H175" s="168" t="s">
        <v>45</v>
      </c>
      <c r="I175" s="162" t="s">
        <v>4504</v>
      </c>
      <c r="J175" s="40"/>
      <c r="K175" s="40"/>
    </row>
    <row r="176" spans="1:11" ht="90">
      <c r="A176" s="164" t="s">
        <v>4505</v>
      </c>
      <c r="B176" s="162" t="s">
        <v>4506</v>
      </c>
      <c r="C176" s="162" t="s">
        <v>4507</v>
      </c>
      <c r="D176" s="162" t="s">
        <v>4399</v>
      </c>
      <c r="E176" s="162" t="s">
        <v>4508</v>
      </c>
      <c r="F176" s="162" t="s">
        <v>4509</v>
      </c>
      <c r="G176" s="162" t="s">
        <v>4510</v>
      </c>
      <c r="H176" s="168" t="s">
        <v>45</v>
      </c>
      <c r="I176" s="162"/>
      <c r="J176" s="40"/>
      <c r="K176" s="40"/>
    </row>
    <row r="177" spans="1:11" ht="75">
      <c r="A177" s="164" t="s">
        <v>4511</v>
      </c>
      <c r="B177" s="162" t="s">
        <v>4512</v>
      </c>
      <c r="C177" s="162" t="s">
        <v>4513</v>
      </c>
      <c r="D177" s="162" t="s">
        <v>4399</v>
      </c>
      <c r="E177" s="162" t="s">
        <v>4514</v>
      </c>
      <c r="F177" s="162" t="s">
        <v>4515</v>
      </c>
      <c r="G177" s="162" t="s">
        <v>4516</v>
      </c>
      <c r="H177" s="168" t="s">
        <v>45</v>
      </c>
      <c r="I177" s="162"/>
      <c r="J177" s="40"/>
      <c r="K177" s="40"/>
    </row>
    <row r="178" spans="1:11" ht="45">
      <c r="A178" s="164" t="s">
        <v>4517</v>
      </c>
      <c r="B178" s="162" t="s">
        <v>4518</v>
      </c>
      <c r="C178" s="162" t="s">
        <v>4519</v>
      </c>
      <c r="D178" s="162" t="s">
        <v>4399</v>
      </c>
      <c r="E178" s="162" t="s">
        <v>4520</v>
      </c>
      <c r="F178" s="162" t="s">
        <v>4521</v>
      </c>
      <c r="G178" s="162" t="s">
        <v>4522</v>
      </c>
      <c r="H178" s="168" t="s">
        <v>45</v>
      </c>
      <c r="I178" s="162"/>
      <c r="J178" s="40"/>
      <c r="K178" s="40"/>
    </row>
    <row r="179" spans="1:11" ht="60">
      <c r="A179" s="164" t="s">
        <v>4523</v>
      </c>
      <c r="B179" s="162" t="s">
        <v>4524</v>
      </c>
      <c r="C179" s="162" t="s">
        <v>4525</v>
      </c>
      <c r="D179" s="162" t="s">
        <v>4399</v>
      </c>
      <c r="E179" s="162" t="s">
        <v>4526</v>
      </c>
      <c r="F179" s="162" t="s">
        <v>4527</v>
      </c>
      <c r="G179" s="162" t="s">
        <v>4528</v>
      </c>
      <c r="H179" s="168" t="s">
        <v>45</v>
      </c>
      <c r="I179" s="162"/>
      <c r="J179" s="40"/>
      <c r="K179" s="40"/>
    </row>
    <row r="180" spans="1:11" ht="90">
      <c r="A180" s="164" t="s">
        <v>4529</v>
      </c>
      <c r="B180" s="162" t="s">
        <v>4530</v>
      </c>
      <c r="C180" s="162" t="s">
        <v>4531</v>
      </c>
      <c r="D180" s="162" t="s">
        <v>4532</v>
      </c>
      <c r="E180" s="162" t="s">
        <v>4533</v>
      </c>
      <c r="F180" s="162" t="s">
        <v>4534</v>
      </c>
      <c r="G180" s="162" t="s">
        <v>4535</v>
      </c>
      <c r="H180" s="168" t="s">
        <v>45</v>
      </c>
      <c r="I180" s="162"/>
      <c r="J180" s="40"/>
      <c r="K180" s="40"/>
    </row>
    <row r="181" spans="1:11" ht="75">
      <c r="A181" s="164" t="s">
        <v>4536</v>
      </c>
      <c r="B181" s="162" t="s">
        <v>4537</v>
      </c>
      <c r="C181" s="162" t="s">
        <v>4538</v>
      </c>
      <c r="D181" s="162" t="s">
        <v>4399</v>
      </c>
      <c r="E181" s="162" t="s">
        <v>4539</v>
      </c>
      <c r="F181" s="162" t="s">
        <v>4540</v>
      </c>
      <c r="G181" s="162" t="s">
        <v>4541</v>
      </c>
      <c r="H181" s="168" t="s">
        <v>45</v>
      </c>
      <c r="I181" s="162" t="s">
        <v>4474</v>
      </c>
      <c r="J181" s="40"/>
      <c r="K181" s="40"/>
    </row>
    <row r="182" spans="1:11" ht="60">
      <c r="A182" s="164" t="s">
        <v>4542</v>
      </c>
      <c r="B182" s="162" t="s">
        <v>4543</v>
      </c>
      <c r="C182" s="162" t="s">
        <v>4544</v>
      </c>
      <c r="D182" s="162" t="s">
        <v>4399</v>
      </c>
      <c r="E182" s="162" t="s">
        <v>4545</v>
      </c>
      <c r="F182" s="162" t="s">
        <v>4546</v>
      </c>
      <c r="G182" s="162" t="s">
        <v>4547</v>
      </c>
      <c r="H182" s="168" t="s">
        <v>45</v>
      </c>
      <c r="I182" s="162" t="s">
        <v>4548</v>
      </c>
      <c r="J182" s="40"/>
      <c r="K182" s="40"/>
    </row>
    <row r="183" spans="1:11" ht="105">
      <c r="A183" s="164" t="s">
        <v>4549</v>
      </c>
      <c r="B183" s="162" t="s">
        <v>4550</v>
      </c>
      <c r="C183" s="162" t="s">
        <v>4551</v>
      </c>
      <c r="D183" s="162" t="s">
        <v>4552</v>
      </c>
      <c r="E183" s="162" t="s">
        <v>4553</v>
      </c>
      <c r="F183" s="162" t="s">
        <v>4554</v>
      </c>
      <c r="G183" s="162" t="s">
        <v>4555</v>
      </c>
      <c r="H183" s="168" t="s">
        <v>45</v>
      </c>
      <c r="I183" s="162" t="s">
        <v>4556</v>
      </c>
      <c r="J183" s="40"/>
      <c r="K183" s="40"/>
    </row>
    <row r="184" spans="1:11" ht="105">
      <c r="A184" s="164" t="s">
        <v>4557</v>
      </c>
      <c r="B184" s="162" t="s">
        <v>4558</v>
      </c>
      <c r="C184" s="162" t="s">
        <v>4559</v>
      </c>
      <c r="D184" s="162" t="s">
        <v>4560</v>
      </c>
      <c r="E184" s="162" t="s">
        <v>4561</v>
      </c>
      <c r="F184" s="162" t="s">
        <v>4562</v>
      </c>
      <c r="G184" s="162" t="s">
        <v>4563</v>
      </c>
      <c r="H184" s="168" t="s">
        <v>45</v>
      </c>
      <c r="I184" s="162" t="s">
        <v>4564</v>
      </c>
      <c r="J184" s="40"/>
      <c r="K184" s="40"/>
    </row>
    <row r="185" spans="1:11" ht="105">
      <c r="A185" s="164" t="s">
        <v>4565</v>
      </c>
      <c r="B185" s="162" t="s">
        <v>4566</v>
      </c>
      <c r="C185" s="162" t="s">
        <v>4567</v>
      </c>
      <c r="D185" s="162" t="s">
        <v>4568</v>
      </c>
      <c r="E185" s="162" t="s">
        <v>4569</v>
      </c>
      <c r="F185" s="162" t="s">
        <v>4570</v>
      </c>
      <c r="G185" s="162" t="s">
        <v>4571</v>
      </c>
      <c r="H185" s="168" t="s">
        <v>45</v>
      </c>
      <c r="I185" s="162" t="s">
        <v>4572</v>
      </c>
      <c r="J185" s="40"/>
      <c r="K185" s="40"/>
    </row>
  </sheetData>
  <mergeCells count="7">
    <mergeCell ref="B7:F7"/>
    <mergeCell ref="B1:F1"/>
    <mergeCell ref="B2:F2"/>
    <mergeCell ref="B3:F3"/>
    <mergeCell ref="B4:F4"/>
    <mergeCell ref="B5:F5"/>
    <mergeCell ref="B6:F6"/>
  </mergeCells>
  <conditionalFormatting sqref="J2:J6">
    <cfRule type="containsText" dxfId="4" priority="1" operator="containsText" text="FAIL">
      <formula>NOT(ISERROR(SEARCH("FAIL",J2)))</formula>
    </cfRule>
    <cfRule type="containsText" dxfId="3" priority="2" operator="containsText" text="PASS">
      <formula>NOT(ISERROR(SEARCH("PASS",J2)))</formula>
    </cfRule>
  </conditionalFormatting>
  <dataValidations count="1">
    <dataValidation type="list" allowBlank="1" showInputMessage="1" showErrorMessage="1" sqref="J1:J6" xr:uid="{71E95A17-A030-4FA3-A719-A8A9BA47F6FB}">
      <formula1>"PASS, FAIL"</formula1>
    </dataValidation>
  </dataValidations>
  <hyperlinks>
    <hyperlink ref="B2:F2" r:id="rId1" display="https://becamexcomvn.sharepoint.com/:w:/r/sites/SmartPole/_layouts/15/Doc.aspx?sourcedoc=%7B3A801663-8B40-4199-94CE-A69F0EA3793F%7D&amp;file=PSD_Smart%20Pole_V0.1.0.docx&amp;action=default&amp;mobileredirect=true" xr:uid="{3DD121FD-BC9D-4761-952C-C05CD80276F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946B-9DBD-415B-AEA2-AA6F7EAC2D73}">
  <dimension ref="A1:N56"/>
  <sheetViews>
    <sheetView workbookViewId="0">
      <selection activeCell="B2" sqref="B2:D2"/>
    </sheetView>
  </sheetViews>
  <sheetFormatPr defaultColWidth="8.85546875" defaultRowHeight="15"/>
  <cols>
    <col min="1" max="4" width="17.42578125" style="18" customWidth="1"/>
    <col min="5" max="5" width="35.140625" style="18" customWidth="1"/>
    <col min="6" max="6" width="24.7109375" style="18" customWidth="1"/>
    <col min="7" max="7" width="17.42578125" style="18" customWidth="1"/>
    <col min="8" max="8" width="21.42578125" style="18" customWidth="1"/>
    <col min="9" max="9" width="28.28515625" style="18" customWidth="1"/>
    <col min="10" max="10" width="34.28515625" style="18" customWidth="1"/>
    <col min="11" max="13" width="17.42578125" style="18" customWidth="1"/>
  </cols>
  <sheetData>
    <row r="1" spans="1:14" ht="15" customHeight="1">
      <c r="A1" s="85" t="s">
        <v>439</v>
      </c>
      <c r="B1" s="206" t="s">
        <v>4573</v>
      </c>
      <c r="C1" s="206"/>
      <c r="D1" s="207"/>
      <c r="E1" s="86"/>
      <c r="F1" s="86"/>
      <c r="G1" s="86"/>
      <c r="H1" s="86"/>
      <c r="I1" s="86"/>
      <c r="J1" s="86"/>
      <c r="K1" s="86"/>
      <c r="L1" s="86"/>
      <c r="M1" s="86"/>
    </row>
    <row r="2" spans="1:14" ht="15" customHeight="1">
      <c r="A2" s="87" t="s">
        <v>441</v>
      </c>
      <c r="B2" s="206" t="s">
        <v>4574</v>
      </c>
      <c r="C2" s="206"/>
      <c r="D2" s="207"/>
      <c r="E2" s="86"/>
      <c r="F2" s="86"/>
      <c r="G2" s="86"/>
      <c r="H2" s="86"/>
      <c r="I2" s="86"/>
      <c r="J2" s="86"/>
      <c r="K2" s="86"/>
      <c r="L2" s="86"/>
      <c r="M2" s="86"/>
    </row>
    <row r="3" spans="1:14" ht="15" customHeight="1">
      <c r="A3" s="87" t="s">
        <v>445</v>
      </c>
      <c r="B3" s="206" t="s">
        <v>4575</v>
      </c>
      <c r="C3" s="206"/>
      <c r="D3" s="207"/>
      <c r="E3" s="86"/>
      <c r="F3" s="86"/>
      <c r="G3" s="86"/>
      <c r="H3" s="86"/>
      <c r="I3" s="86"/>
      <c r="J3" s="86"/>
      <c r="K3" s="86"/>
      <c r="L3" s="86"/>
      <c r="M3" s="86"/>
    </row>
    <row r="4" spans="1:14" ht="15" customHeight="1">
      <c r="A4" s="87" t="s">
        <v>448</v>
      </c>
      <c r="B4" s="206" t="s">
        <v>1759</v>
      </c>
      <c r="C4" s="206"/>
      <c r="D4" s="207"/>
      <c r="E4" s="86"/>
      <c r="F4" s="86"/>
      <c r="G4" s="86"/>
      <c r="H4" s="86"/>
      <c r="I4" s="86"/>
      <c r="J4" s="86"/>
      <c r="K4" s="86"/>
      <c r="L4" s="86"/>
      <c r="M4" s="86"/>
    </row>
    <row r="5" spans="1:14" ht="15" customHeight="1">
      <c r="A5" s="87" t="s">
        <v>450</v>
      </c>
      <c r="B5" s="210">
        <v>46148</v>
      </c>
      <c r="C5" s="206"/>
      <c r="D5" s="207"/>
      <c r="E5" s="86"/>
      <c r="F5" s="86"/>
      <c r="G5" s="86"/>
      <c r="H5" s="86"/>
      <c r="I5" s="86"/>
      <c r="J5" s="86"/>
      <c r="K5" s="86"/>
      <c r="L5" s="86"/>
      <c r="M5" s="86"/>
    </row>
    <row r="6" spans="1:14" ht="15" customHeight="1">
      <c r="A6" s="87" t="s">
        <v>451</v>
      </c>
      <c r="B6" s="206" t="s">
        <v>43</v>
      </c>
      <c r="C6" s="206"/>
      <c r="D6" s="207"/>
      <c r="E6" s="86"/>
      <c r="F6" s="86"/>
      <c r="G6" s="86"/>
      <c r="H6" s="86"/>
      <c r="I6" s="86"/>
      <c r="J6" s="86"/>
      <c r="K6" s="86"/>
      <c r="L6" s="86"/>
      <c r="M6" s="86"/>
    </row>
    <row r="7" spans="1:14" ht="15" customHeight="1">
      <c r="A7" s="87" t="s">
        <v>452</v>
      </c>
      <c r="B7" s="206" t="s">
        <v>8</v>
      </c>
      <c r="C7" s="206"/>
      <c r="D7" s="207"/>
      <c r="E7" s="86"/>
      <c r="F7" s="86"/>
      <c r="G7" s="86"/>
      <c r="H7" s="86"/>
      <c r="I7" s="86"/>
      <c r="J7" s="86"/>
      <c r="K7" s="86"/>
      <c r="L7" s="86"/>
      <c r="M7" s="86"/>
    </row>
    <row r="8" spans="1:14" ht="32.1">
      <c r="A8" s="208" t="s">
        <v>453</v>
      </c>
      <c r="B8" s="88" t="s">
        <v>454</v>
      </c>
      <c r="C8" s="89" t="s">
        <v>22</v>
      </c>
      <c r="D8" s="90" t="s">
        <v>23</v>
      </c>
      <c r="E8" s="91" t="s">
        <v>3656</v>
      </c>
      <c r="F8" s="92" t="s">
        <v>3657</v>
      </c>
      <c r="G8" s="86"/>
      <c r="H8" s="86"/>
      <c r="I8" s="86"/>
      <c r="J8" s="86"/>
      <c r="K8" s="86"/>
      <c r="L8" s="86"/>
      <c r="M8" s="86"/>
    </row>
    <row r="9" spans="1:14">
      <c r="A9" s="209"/>
      <c r="B9" s="88">
        <v>44</v>
      </c>
      <c r="C9" s="89">
        <v>0</v>
      </c>
      <c r="D9" s="90">
        <v>0</v>
      </c>
      <c r="E9" s="93">
        <v>44</v>
      </c>
      <c r="F9" s="94">
        <v>0</v>
      </c>
      <c r="G9" s="86"/>
      <c r="H9" s="86"/>
      <c r="I9" s="86"/>
      <c r="J9" s="86"/>
      <c r="K9" s="86"/>
      <c r="L9" s="86"/>
      <c r="M9" s="86"/>
    </row>
    <row r="10" spans="1:14">
      <c r="A10" s="86"/>
      <c r="B10" s="86"/>
      <c r="C10" s="86"/>
      <c r="D10" s="86"/>
      <c r="E10" s="86"/>
      <c r="F10" s="86"/>
      <c r="G10" s="86"/>
      <c r="H10" s="86"/>
      <c r="I10" s="86"/>
      <c r="J10" s="86"/>
      <c r="K10" s="86"/>
      <c r="L10" s="86"/>
      <c r="M10" s="86"/>
    </row>
    <row r="11" spans="1:14" ht="48">
      <c r="A11" s="85" t="s">
        <v>455</v>
      </c>
      <c r="B11" s="95" t="s">
        <v>456</v>
      </c>
      <c r="C11" s="95" t="s">
        <v>457</v>
      </c>
      <c r="D11" s="95" t="s">
        <v>458</v>
      </c>
      <c r="E11" s="95" t="s">
        <v>459</v>
      </c>
      <c r="F11" s="95" t="s">
        <v>4576</v>
      </c>
      <c r="G11" s="95" t="s">
        <v>4577</v>
      </c>
      <c r="H11" s="95" t="s">
        <v>4578</v>
      </c>
      <c r="I11" s="95" t="s">
        <v>461</v>
      </c>
      <c r="J11" s="95" t="s">
        <v>1760</v>
      </c>
      <c r="K11" s="95" t="s">
        <v>1761</v>
      </c>
      <c r="L11" s="95" t="s">
        <v>1762</v>
      </c>
      <c r="M11" s="95" t="s">
        <v>3667</v>
      </c>
      <c r="N11" s="12" t="s">
        <v>35</v>
      </c>
    </row>
    <row r="12" spans="1:14" ht="96">
      <c r="A12" s="204" t="s">
        <v>4579</v>
      </c>
      <c r="B12" s="204" t="s">
        <v>4580</v>
      </c>
      <c r="C12" s="88" t="s">
        <v>4581</v>
      </c>
      <c r="D12" s="88" t="s">
        <v>4582</v>
      </c>
      <c r="E12" s="88" t="s">
        <v>4583</v>
      </c>
      <c r="F12" s="88" t="s">
        <v>4584</v>
      </c>
      <c r="G12" s="88" t="s">
        <v>4573</v>
      </c>
      <c r="H12" s="88" t="s">
        <v>4585</v>
      </c>
      <c r="I12" s="88" t="s">
        <v>4586</v>
      </c>
      <c r="J12" s="88" t="s">
        <v>43</v>
      </c>
      <c r="K12" s="231" t="s">
        <v>45</v>
      </c>
      <c r="L12" s="88" t="s">
        <v>4587</v>
      </c>
      <c r="M12" s="88"/>
      <c r="N12" s="19"/>
    </row>
    <row r="13" spans="1:14" ht="96">
      <c r="A13" s="204"/>
      <c r="B13" s="204"/>
      <c r="C13" s="88" t="s">
        <v>4588</v>
      </c>
      <c r="D13" s="88" t="s">
        <v>4589</v>
      </c>
      <c r="E13" s="88" t="s">
        <v>4583</v>
      </c>
      <c r="F13" s="88" t="s">
        <v>4590</v>
      </c>
      <c r="G13" s="88" t="s">
        <v>4573</v>
      </c>
      <c r="H13" s="88" t="s">
        <v>4591</v>
      </c>
      <c r="I13" s="88" t="s">
        <v>4592</v>
      </c>
      <c r="J13" s="88" t="s">
        <v>43</v>
      </c>
      <c r="K13" s="231" t="s">
        <v>45</v>
      </c>
      <c r="L13" s="88"/>
      <c r="M13" s="88"/>
      <c r="N13" s="19"/>
    </row>
    <row r="14" spans="1:14" ht="96">
      <c r="A14" s="204"/>
      <c r="B14" s="204"/>
      <c r="C14" s="88" t="s">
        <v>4593</v>
      </c>
      <c r="D14" s="88" t="s">
        <v>4594</v>
      </c>
      <c r="E14" s="88" t="s">
        <v>4583</v>
      </c>
      <c r="F14" s="88" t="s">
        <v>4595</v>
      </c>
      <c r="G14" s="88" t="s">
        <v>4573</v>
      </c>
      <c r="H14" s="88" t="s">
        <v>4596</v>
      </c>
      <c r="I14" s="88" t="s">
        <v>4597</v>
      </c>
      <c r="J14" s="88" t="s">
        <v>43</v>
      </c>
      <c r="K14" s="231" t="s">
        <v>45</v>
      </c>
      <c r="L14" s="88"/>
      <c r="M14" s="88"/>
      <c r="N14" s="19"/>
    </row>
    <row r="15" spans="1:14" ht="96">
      <c r="A15" s="204"/>
      <c r="B15" s="204"/>
      <c r="C15" s="88" t="s">
        <v>4598</v>
      </c>
      <c r="D15" s="88" t="s">
        <v>4599</v>
      </c>
      <c r="E15" s="88" t="s">
        <v>4583</v>
      </c>
      <c r="F15" s="88" t="s">
        <v>4600</v>
      </c>
      <c r="G15" s="88" t="s">
        <v>4573</v>
      </c>
      <c r="H15" s="88" t="s">
        <v>4601</v>
      </c>
      <c r="I15" s="88" t="s">
        <v>4602</v>
      </c>
      <c r="J15" s="88" t="s">
        <v>43</v>
      </c>
      <c r="K15" s="231" t="s">
        <v>45</v>
      </c>
      <c r="L15" s="88"/>
      <c r="M15" s="88"/>
      <c r="N15" s="19"/>
    </row>
    <row r="16" spans="1:14" ht="96">
      <c r="A16" s="204"/>
      <c r="B16" s="204"/>
      <c r="C16" s="88" t="s">
        <v>4603</v>
      </c>
      <c r="D16" s="88" t="s">
        <v>4604</v>
      </c>
      <c r="E16" s="88" t="s">
        <v>4583</v>
      </c>
      <c r="F16" s="88" t="s">
        <v>4605</v>
      </c>
      <c r="G16" s="88" t="s">
        <v>4573</v>
      </c>
      <c r="H16" s="88" t="s">
        <v>4606</v>
      </c>
      <c r="I16" s="88" t="s">
        <v>4607</v>
      </c>
      <c r="J16" s="88" t="s">
        <v>43</v>
      </c>
      <c r="K16" s="231" t="s">
        <v>45</v>
      </c>
      <c r="L16" s="88"/>
      <c r="M16" s="88"/>
      <c r="N16" s="19"/>
    </row>
    <row r="17" spans="1:14" ht="96">
      <c r="A17" s="204"/>
      <c r="B17" s="204"/>
      <c r="C17" s="88" t="s">
        <v>4608</v>
      </c>
      <c r="D17" s="88" t="s">
        <v>4609</v>
      </c>
      <c r="E17" s="88" t="s">
        <v>4583</v>
      </c>
      <c r="F17" s="88" t="s">
        <v>4610</v>
      </c>
      <c r="G17" s="88" t="s">
        <v>4573</v>
      </c>
      <c r="H17" s="88" t="s">
        <v>4611</v>
      </c>
      <c r="I17" s="88" t="s">
        <v>4612</v>
      </c>
      <c r="J17" s="88" t="s">
        <v>43</v>
      </c>
      <c r="K17" s="231" t="s">
        <v>45</v>
      </c>
      <c r="L17" s="88"/>
      <c r="M17" s="88"/>
      <c r="N17" s="19"/>
    </row>
    <row r="18" spans="1:14" ht="96">
      <c r="A18" s="204"/>
      <c r="B18" s="204"/>
      <c r="C18" s="88" t="s">
        <v>4613</v>
      </c>
      <c r="D18" s="88" t="s">
        <v>4614</v>
      </c>
      <c r="E18" s="88" t="s">
        <v>4583</v>
      </c>
      <c r="F18" s="88" t="s">
        <v>4615</v>
      </c>
      <c r="G18" s="88" t="s">
        <v>4573</v>
      </c>
      <c r="H18" s="88" t="s">
        <v>4616</v>
      </c>
      <c r="I18" s="88" t="s">
        <v>4617</v>
      </c>
      <c r="J18" s="88" t="s">
        <v>43</v>
      </c>
      <c r="K18" s="231" t="s">
        <v>173</v>
      </c>
      <c r="L18" s="88" t="s">
        <v>4618</v>
      </c>
      <c r="M18" s="88"/>
      <c r="N18" s="19"/>
    </row>
    <row r="19" spans="1:14" ht="128.1">
      <c r="A19" s="204"/>
      <c r="B19" s="204"/>
      <c r="C19" s="88" t="s">
        <v>4619</v>
      </c>
      <c r="D19" s="88" t="s">
        <v>4620</v>
      </c>
      <c r="E19" s="88" t="s">
        <v>4583</v>
      </c>
      <c r="F19" s="88" t="s">
        <v>4621</v>
      </c>
      <c r="G19" s="88" t="s">
        <v>4573</v>
      </c>
      <c r="H19" s="88" t="s">
        <v>4622</v>
      </c>
      <c r="I19" s="88" t="s">
        <v>4623</v>
      </c>
      <c r="J19" s="88"/>
      <c r="K19" s="231" t="s">
        <v>45</v>
      </c>
      <c r="L19" s="88" t="s">
        <v>4624</v>
      </c>
      <c r="M19" s="88"/>
      <c r="N19" s="19"/>
    </row>
    <row r="20" spans="1:14" ht="111.95">
      <c r="A20" s="204"/>
      <c r="B20" s="204"/>
      <c r="C20" s="88" t="s">
        <v>4625</v>
      </c>
      <c r="D20" s="88" t="s">
        <v>4626</v>
      </c>
      <c r="E20" s="88" t="s">
        <v>4583</v>
      </c>
      <c r="F20" s="88" t="s">
        <v>4627</v>
      </c>
      <c r="G20" s="88" t="s">
        <v>4573</v>
      </c>
      <c r="H20" s="88" t="s">
        <v>4628</v>
      </c>
      <c r="I20" s="88" t="s">
        <v>4629</v>
      </c>
      <c r="J20" s="88" t="s">
        <v>43</v>
      </c>
      <c r="K20" s="231" t="s">
        <v>173</v>
      </c>
      <c r="L20" s="88"/>
      <c r="M20" s="88"/>
      <c r="N20" s="19"/>
    </row>
    <row r="21" spans="1:14" ht="111.95">
      <c r="A21" s="204"/>
      <c r="B21" s="204"/>
      <c r="C21" s="88" t="s">
        <v>4630</v>
      </c>
      <c r="D21" s="88" t="s">
        <v>4631</v>
      </c>
      <c r="E21" s="88" t="s">
        <v>4632</v>
      </c>
      <c r="F21" s="88" t="s">
        <v>4633</v>
      </c>
      <c r="G21" s="88" t="s">
        <v>4573</v>
      </c>
      <c r="H21" s="88" t="s">
        <v>4634</v>
      </c>
      <c r="I21" s="88" t="s">
        <v>4635</v>
      </c>
      <c r="J21" s="88" t="s">
        <v>43</v>
      </c>
      <c r="K21" s="231" t="s">
        <v>173</v>
      </c>
      <c r="L21" s="88"/>
      <c r="M21" s="88"/>
      <c r="N21" s="19"/>
    </row>
    <row r="22" spans="1:14" ht="96">
      <c r="A22" s="204"/>
      <c r="B22" s="204"/>
      <c r="C22" s="88" t="s">
        <v>4636</v>
      </c>
      <c r="D22" s="88" t="s">
        <v>4637</v>
      </c>
      <c r="E22" s="88" t="s">
        <v>4583</v>
      </c>
      <c r="F22" s="88" t="s">
        <v>4638</v>
      </c>
      <c r="G22" s="88" t="s">
        <v>4573</v>
      </c>
      <c r="H22" s="88" t="s">
        <v>4639</v>
      </c>
      <c r="I22" s="88" t="s">
        <v>4640</v>
      </c>
      <c r="J22" s="88" t="s">
        <v>43</v>
      </c>
      <c r="K22" s="231" t="s">
        <v>173</v>
      </c>
      <c r="L22" s="88"/>
      <c r="M22" s="88"/>
      <c r="N22" s="19"/>
    </row>
    <row r="23" spans="1:14" ht="111.95">
      <c r="A23" s="204"/>
      <c r="B23" s="204"/>
      <c r="C23" s="88" t="s">
        <v>4641</v>
      </c>
      <c r="D23" s="88" t="s">
        <v>4642</v>
      </c>
      <c r="E23" s="88" t="s">
        <v>4583</v>
      </c>
      <c r="F23" s="88" t="s">
        <v>4643</v>
      </c>
      <c r="G23" s="88" t="s">
        <v>4573</v>
      </c>
      <c r="H23" s="88" t="s">
        <v>4644</v>
      </c>
      <c r="I23" s="88" t="s">
        <v>4645</v>
      </c>
      <c r="J23" s="88" t="s">
        <v>43</v>
      </c>
      <c r="K23" s="231" t="s">
        <v>173</v>
      </c>
      <c r="L23" s="88"/>
      <c r="M23" s="88"/>
      <c r="N23" s="19"/>
    </row>
    <row r="24" spans="1:14" ht="111.95">
      <c r="A24" s="204"/>
      <c r="B24" s="204"/>
      <c r="C24" s="88" t="s">
        <v>4646</v>
      </c>
      <c r="D24" s="88" t="s">
        <v>4647</v>
      </c>
      <c r="E24" s="88" t="s">
        <v>4583</v>
      </c>
      <c r="F24" s="88" t="s">
        <v>4648</v>
      </c>
      <c r="G24" s="88" t="s">
        <v>4573</v>
      </c>
      <c r="H24" s="88" t="s">
        <v>4649</v>
      </c>
      <c r="I24" s="88" t="s">
        <v>4650</v>
      </c>
      <c r="J24" s="88" t="s">
        <v>43</v>
      </c>
      <c r="K24" s="231" t="s">
        <v>173</v>
      </c>
      <c r="L24" s="88"/>
      <c r="M24" s="88"/>
      <c r="N24" s="19"/>
    </row>
    <row r="25" spans="1:14" ht="96">
      <c r="A25" s="204"/>
      <c r="B25" s="204"/>
      <c r="C25" s="88" t="s">
        <v>4651</v>
      </c>
      <c r="D25" s="88" t="s">
        <v>4652</v>
      </c>
      <c r="E25" s="88" t="s">
        <v>4583</v>
      </c>
      <c r="F25" s="88" t="s">
        <v>4653</v>
      </c>
      <c r="G25" s="88" t="s">
        <v>4573</v>
      </c>
      <c r="H25" s="88" t="s">
        <v>4654</v>
      </c>
      <c r="I25" s="88" t="s">
        <v>4655</v>
      </c>
      <c r="J25" s="88" t="s">
        <v>43</v>
      </c>
      <c r="K25" s="231" t="s">
        <v>173</v>
      </c>
      <c r="L25" s="88"/>
      <c r="M25" s="88"/>
      <c r="N25" s="19"/>
    </row>
    <row r="26" spans="1:14" ht="96">
      <c r="A26" s="204"/>
      <c r="B26" s="204"/>
      <c r="C26" s="88" t="s">
        <v>4656</v>
      </c>
      <c r="D26" s="88" t="s">
        <v>4657</v>
      </c>
      <c r="E26" s="88" t="s">
        <v>4583</v>
      </c>
      <c r="F26" s="88" t="s">
        <v>4658</v>
      </c>
      <c r="G26" s="88" t="s">
        <v>4573</v>
      </c>
      <c r="H26" s="88" t="s">
        <v>4659</v>
      </c>
      <c r="I26" s="88" t="s">
        <v>4660</v>
      </c>
      <c r="J26" s="88" t="s">
        <v>43</v>
      </c>
      <c r="K26" s="231" t="s">
        <v>173</v>
      </c>
      <c r="L26" s="88"/>
      <c r="M26" s="88"/>
      <c r="N26" s="19"/>
    </row>
    <row r="27" spans="1:14" ht="111.95">
      <c r="A27" s="204"/>
      <c r="B27" s="204"/>
      <c r="C27" s="88" t="s">
        <v>4661</v>
      </c>
      <c r="D27" s="88" t="s">
        <v>4662</v>
      </c>
      <c r="E27" s="88" t="s">
        <v>4583</v>
      </c>
      <c r="F27" s="88" t="s">
        <v>4663</v>
      </c>
      <c r="G27" s="88" t="s">
        <v>4573</v>
      </c>
      <c r="H27" s="88" t="s">
        <v>4664</v>
      </c>
      <c r="I27" s="88" t="s">
        <v>4665</v>
      </c>
      <c r="J27" s="88" t="s">
        <v>43</v>
      </c>
      <c r="K27" s="231" t="s">
        <v>173</v>
      </c>
      <c r="L27" s="88"/>
      <c r="M27" s="88"/>
      <c r="N27" s="19"/>
    </row>
    <row r="28" spans="1:14" ht="96">
      <c r="A28" s="205"/>
      <c r="B28" s="205"/>
      <c r="C28" s="88" t="s">
        <v>4666</v>
      </c>
      <c r="D28" s="88" t="s">
        <v>4667</v>
      </c>
      <c r="E28" s="88" t="s">
        <v>4583</v>
      </c>
      <c r="F28" s="88" t="s">
        <v>4668</v>
      </c>
      <c r="G28" s="88" t="s">
        <v>4573</v>
      </c>
      <c r="H28" s="88" t="s">
        <v>4669</v>
      </c>
      <c r="I28" s="88" t="s">
        <v>4670</v>
      </c>
      <c r="J28" s="88" t="s">
        <v>43</v>
      </c>
      <c r="K28" s="231" t="s">
        <v>173</v>
      </c>
      <c r="L28" s="88"/>
      <c r="M28" s="88"/>
      <c r="N28" s="19"/>
    </row>
    <row r="29" spans="1:14" ht="128.1">
      <c r="A29" s="204" t="s">
        <v>4671</v>
      </c>
      <c r="B29" s="204" t="s">
        <v>4672</v>
      </c>
      <c r="C29" s="88" t="s">
        <v>4673</v>
      </c>
      <c r="D29" s="88" t="s">
        <v>4674</v>
      </c>
      <c r="E29" s="88" t="s">
        <v>4675</v>
      </c>
      <c r="F29" s="88" t="s">
        <v>4676</v>
      </c>
      <c r="G29" s="88" t="s">
        <v>4573</v>
      </c>
      <c r="H29" s="88" t="s">
        <v>4677</v>
      </c>
      <c r="I29" s="88" t="s">
        <v>4678</v>
      </c>
      <c r="J29" s="88" t="s">
        <v>43</v>
      </c>
      <c r="K29" s="231" t="s">
        <v>173</v>
      </c>
      <c r="L29" s="88"/>
      <c r="M29" s="88"/>
      <c r="N29" s="19"/>
    </row>
    <row r="30" spans="1:14" ht="144">
      <c r="A30" s="204"/>
      <c r="B30" s="204"/>
      <c r="C30" s="88" t="s">
        <v>4679</v>
      </c>
      <c r="D30" s="88" t="s">
        <v>4680</v>
      </c>
      <c r="E30" s="88" t="s">
        <v>4675</v>
      </c>
      <c r="F30" s="88" t="s">
        <v>4681</v>
      </c>
      <c r="G30" s="88" t="s">
        <v>4573</v>
      </c>
      <c r="H30" s="88" t="s">
        <v>4682</v>
      </c>
      <c r="I30" s="88" t="s">
        <v>4683</v>
      </c>
      <c r="J30" s="88" t="s">
        <v>43</v>
      </c>
      <c r="K30" s="231" t="s">
        <v>173</v>
      </c>
      <c r="L30" s="88"/>
      <c r="M30" s="88"/>
      <c r="N30" s="19"/>
    </row>
    <row r="31" spans="1:14" ht="128.1">
      <c r="A31" s="204"/>
      <c r="B31" s="204"/>
      <c r="C31" s="88" t="s">
        <v>4684</v>
      </c>
      <c r="D31" s="88" t="s">
        <v>4685</v>
      </c>
      <c r="E31" s="88" t="s">
        <v>4675</v>
      </c>
      <c r="F31" s="88" t="s">
        <v>4686</v>
      </c>
      <c r="G31" s="88" t="s">
        <v>4573</v>
      </c>
      <c r="H31" s="88" t="s">
        <v>4687</v>
      </c>
      <c r="I31" s="88" t="s">
        <v>4688</v>
      </c>
      <c r="J31" s="88" t="s">
        <v>43</v>
      </c>
      <c r="K31" s="231" t="s">
        <v>173</v>
      </c>
      <c r="L31" s="88"/>
      <c r="M31" s="88"/>
      <c r="N31" s="19"/>
    </row>
    <row r="32" spans="1:14" ht="111.95">
      <c r="A32" s="204"/>
      <c r="B32" s="204"/>
      <c r="C32" s="88" t="s">
        <v>4689</v>
      </c>
      <c r="D32" s="88" t="s">
        <v>4690</v>
      </c>
      <c r="E32" s="88" t="s">
        <v>4675</v>
      </c>
      <c r="F32" s="88" t="s">
        <v>4691</v>
      </c>
      <c r="G32" s="88" t="s">
        <v>4573</v>
      </c>
      <c r="H32" s="88" t="s">
        <v>4692</v>
      </c>
      <c r="I32" s="88" t="s">
        <v>4693</v>
      </c>
      <c r="J32" s="88" t="s">
        <v>43</v>
      </c>
      <c r="K32" s="231" t="s">
        <v>173</v>
      </c>
      <c r="L32" s="88"/>
      <c r="M32" s="88"/>
      <c r="N32" s="19"/>
    </row>
    <row r="33" spans="1:14" ht="111.95">
      <c r="A33" s="204"/>
      <c r="B33" s="204"/>
      <c r="C33" s="88" t="s">
        <v>4694</v>
      </c>
      <c r="D33" s="88" t="s">
        <v>4695</v>
      </c>
      <c r="E33" s="88" t="s">
        <v>4675</v>
      </c>
      <c r="F33" s="88" t="s">
        <v>4696</v>
      </c>
      <c r="G33" s="88" t="s">
        <v>4573</v>
      </c>
      <c r="H33" s="88" t="s">
        <v>4697</v>
      </c>
      <c r="I33" s="88" t="s">
        <v>4698</v>
      </c>
      <c r="J33" s="88" t="s">
        <v>43</v>
      </c>
      <c r="K33" s="231" t="s">
        <v>173</v>
      </c>
      <c r="L33" s="88"/>
      <c r="M33" s="88"/>
      <c r="N33" s="19"/>
    </row>
    <row r="34" spans="1:14" ht="96">
      <c r="A34" s="204"/>
      <c r="B34" s="204"/>
      <c r="C34" s="88" t="s">
        <v>4699</v>
      </c>
      <c r="D34" s="88" t="s">
        <v>4700</v>
      </c>
      <c r="E34" s="88" t="s">
        <v>4675</v>
      </c>
      <c r="F34" s="88" t="s">
        <v>4701</v>
      </c>
      <c r="G34" s="88" t="s">
        <v>4573</v>
      </c>
      <c r="H34" s="88" t="s">
        <v>4702</v>
      </c>
      <c r="I34" s="88" t="s">
        <v>4703</v>
      </c>
      <c r="J34" s="88" t="s">
        <v>43</v>
      </c>
      <c r="K34" s="231" t="s">
        <v>173</v>
      </c>
      <c r="L34" s="88"/>
      <c r="M34" s="88"/>
      <c r="N34" s="19"/>
    </row>
    <row r="35" spans="1:14" ht="111.95">
      <c r="A35" s="204"/>
      <c r="B35" s="204"/>
      <c r="C35" s="88" t="s">
        <v>4704</v>
      </c>
      <c r="D35" s="88" t="s">
        <v>4705</v>
      </c>
      <c r="E35" s="88" t="s">
        <v>4675</v>
      </c>
      <c r="F35" s="88" t="s">
        <v>4706</v>
      </c>
      <c r="G35" s="88" t="s">
        <v>4573</v>
      </c>
      <c r="H35" s="88" t="s">
        <v>4707</v>
      </c>
      <c r="I35" s="88" t="s">
        <v>4708</v>
      </c>
      <c r="J35" s="88" t="s">
        <v>43</v>
      </c>
      <c r="K35" s="231" t="s">
        <v>173</v>
      </c>
      <c r="L35" s="88"/>
      <c r="M35" s="88"/>
      <c r="N35" s="19"/>
    </row>
    <row r="36" spans="1:14" ht="111.95">
      <c r="A36" s="204"/>
      <c r="B36" s="204"/>
      <c r="C36" s="88" t="s">
        <v>4709</v>
      </c>
      <c r="D36" s="88" t="s">
        <v>4710</v>
      </c>
      <c r="E36" s="88" t="s">
        <v>4675</v>
      </c>
      <c r="F36" s="88" t="s">
        <v>4711</v>
      </c>
      <c r="G36" s="88" t="s">
        <v>4573</v>
      </c>
      <c r="H36" s="88" t="s">
        <v>4712</v>
      </c>
      <c r="I36" s="88" t="s">
        <v>4713</v>
      </c>
      <c r="J36" s="88" t="s">
        <v>43</v>
      </c>
      <c r="K36" s="231" t="s">
        <v>173</v>
      </c>
      <c r="L36" s="88"/>
      <c r="M36" s="88"/>
      <c r="N36" s="19"/>
    </row>
    <row r="37" spans="1:14" ht="144">
      <c r="A37" s="204"/>
      <c r="B37" s="204"/>
      <c r="C37" s="88" t="s">
        <v>4714</v>
      </c>
      <c r="D37" s="88" t="s">
        <v>4715</v>
      </c>
      <c r="E37" s="88" t="s">
        <v>4675</v>
      </c>
      <c r="F37" s="88" t="s">
        <v>4716</v>
      </c>
      <c r="G37" s="88" t="s">
        <v>4573</v>
      </c>
      <c r="H37" s="88" t="s">
        <v>4717</v>
      </c>
      <c r="I37" s="88" t="s">
        <v>4718</v>
      </c>
      <c r="J37" s="88" t="s">
        <v>43</v>
      </c>
      <c r="K37" s="231" t="s">
        <v>173</v>
      </c>
      <c r="L37" s="88"/>
      <c r="M37" s="88"/>
      <c r="N37" s="19"/>
    </row>
    <row r="38" spans="1:14" ht="144">
      <c r="A38" s="204"/>
      <c r="B38" s="204"/>
      <c r="C38" s="88" t="s">
        <v>4719</v>
      </c>
      <c r="D38" s="88" t="s">
        <v>4720</v>
      </c>
      <c r="E38" s="88" t="s">
        <v>4675</v>
      </c>
      <c r="F38" s="88" t="s">
        <v>4721</v>
      </c>
      <c r="G38" s="88" t="s">
        <v>4573</v>
      </c>
      <c r="H38" s="88" t="s">
        <v>4722</v>
      </c>
      <c r="I38" s="88" t="s">
        <v>4723</v>
      </c>
      <c r="J38" s="88" t="s">
        <v>43</v>
      </c>
      <c r="K38" s="231" t="s">
        <v>173</v>
      </c>
      <c r="L38" s="88"/>
      <c r="M38" s="88"/>
      <c r="N38" s="19"/>
    </row>
    <row r="39" spans="1:14" ht="128.1">
      <c r="A39" s="204"/>
      <c r="B39" s="204"/>
      <c r="C39" s="88" t="s">
        <v>4724</v>
      </c>
      <c r="D39" s="88" t="s">
        <v>4725</v>
      </c>
      <c r="E39" s="88" t="s">
        <v>4632</v>
      </c>
      <c r="F39" s="88" t="s">
        <v>4726</v>
      </c>
      <c r="G39" s="88" t="s">
        <v>4573</v>
      </c>
      <c r="H39" s="88" t="s">
        <v>4727</v>
      </c>
      <c r="I39" s="88" t="s">
        <v>4728</v>
      </c>
      <c r="J39" s="88" t="s">
        <v>43</v>
      </c>
      <c r="K39" s="231" t="s">
        <v>173</v>
      </c>
      <c r="L39" s="88"/>
      <c r="M39" s="88"/>
      <c r="N39" s="19"/>
    </row>
    <row r="40" spans="1:14" ht="144">
      <c r="A40" s="204"/>
      <c r="B40" s="204"/>
      <c r="C40" s="88" t="s">
        <v>4729</v>
      </c>
      <c r="D40" s="88" t="s">
        <v>4730</v>
      </c>
      <c r="E40" s="88" t="s">
        <v>4632</v>
      </c>
      <c r="F40" s="88" t="s">
        <v>4731</v>
      </c>
      <c r="G40" s="88" t="s">
        <v>4573</v>
      </c>
      <c r="H40" s="88" t="s">
        <v>4732</v>
      </c>
      <c r="I40" s="88" t="s">
        <v>4733</v>
      </c>
      <c r="J40" s="88" t="s">
        <v>43</v>
      </c>
      <c r="K40" s="231" t="s">
        <v>173</v>
      </c>
      <c r="L40" s="88"/>
      <c r="M40" s="88"/>
      <c r="N40" s="19"/>
    </row>
    <row r="41" spans="1:14" ht="128.1">
      <c r="A41" s="204"/>
      <c r="B41" s="204"/>
      <c r="C41" s="88" t="s">
        <v>4734</v>
      </c>
      <c r="D41" s="88" t="s">
        <v>4735</v>
      </c>
      <c r="E41" s="88" t="s">
        <v>4632</v>
      </c>
      <c r="F41" s="88" t="s">
        <v>4736</v>
      </c>
      <c r="G41" s="88" t="s">
        <v>4573</v>
      </c>
      <c r="H41" s="88" t="s">
        <v>4737</v>
      </c>
      <c r="I41" s="88" t="s">
        <v>4738</v>
      </c>
      <c r="J41" s="88" t="s">
        <v>43</v>
      </c>
      <c r="K41" s="231" t="s">
        <v>173</v>
      </c>
      <c r="L41" s="88"/>
      <c r="M41" s="88"/>
      <c r="N41" s="19"/>
    </row>
    <row r="42" spans="1:14" ht="96">
      <c r="A42" s="204"/>
      <c r="B42" s="204"/>
      <c r="C42" s="88" t="s">
        <v>4739</v>
      </c>
      <c r="D42" s="88" t="s">
        <v>4740</v>
      </c>
      <c r="E42" s="88" t="s">
        <v>4675</v>
      </c>
      <c r="F42" s="88" t="s">
        <v>4741</v>
      </c>
      <c r="G42" s="88" t="s">
        <v>4573</v>
      </c>
      <c r="H42" s="88" t="s">
        <v>4742</v>
      </c>
      <c r="I42" s="88" t="s">
        <v>4743</v>
      </c>
      <c r="J42" s="88" t="s">
        <v>43</v>
      </c>
      <c r="K42" s="231" t="s">
        <v>173</v>
      </c>
      <c r="L42" s="88"/>
      <c r="M42" s="88"/>
      <c r="N42" s="19"/>
    </row>
    <row r="43" spans="1:14" ht="96">
      <c r="A43" s="204"/>
      <c r="B43" s="204"/>
      <c r="C43" s="88" t="s">
        <v>4744</v>
      </c>
      <c r="D43" s="88" t="s">
        <v>4745</v>
      </c>
      <c r="E43" s="88" t="s">
        <v>4675</v>
      </c>
      <c r="F43" s="88" t="s">
        <v>4746</v>
      </c>
      <c r="G43" s="88" t="s">
        <v>4573</v>
      </c>
      <c r="H43" s="88" t="s">
        <v>4747</v>
      </c>
      <c r="I43" s="88" t="s">
        <v>4748</v>
      </c>
      <c r="J43" s="88" t="s">
        <v>43</v>
      </c>
      <c r="K43" s="231" t="s">
        <v>173</v>
      </c>
      <c r="L43" s="88"/>
      <c r="M43" s="88"/>
      <c r="N43" s="19"/>
    </row>
    <row r="44" spans="1:14" ht="96">
      <c r="A44" s="204"/>
      <c r="B44" s="204"/>
      <c r="C44" s="88" t="s">
        <v>4749</v>
      </c>
      <c r="D44" s="88" t="s">
        <v>4750</v>
      </c>
      <c r="E44" s="88" t="s">
        <v>4675</v>
      </c>
      <c r="F44" s="88" t="s">
        <v>4751</v>
      </c>
      <c r="G44" s="88" t="s">
        <v>4573</v>
      </c>
      <c r="H44" s="88" t="s">
        <v>4752</v>
      </c>
      <c r="I44" s="88" t="s">
        <v>4753</v>
      </c>
      <c r="J44" s="88" t="s">
        <v>43</v>
      </c>
      <c r="K44" s="231" t="s">
        <v>173</v>
      </c>
      <c r="L44" s="88"/>
      <c r="M44" s="88"/>
      <c r="N44" s="19"/>
    </row>
    <row r="45" spans="1:14" ht="96">
      <c r="A45" s="204"/>
      <c r="B45" s="204"/>
      <c r="C45" s="88" t="s">
        <v>4754</v>
      </c>
      <c r="D45" s="88" t="s">
        <v>4755</v>
      </c>
      <c r="E45" s="88" t="s">
        <v>4675</v>
      </c>
      <c r="F45" s="88" t="s">
        <v>4756</v>
      </c>
      <c r="G45" s="88" t="s">
        <v>4573</v>
      </c>
      <c r="H45" s="88" t="s">
        <v>4757</v>
      </c>
      <c r="I45" s="88" t="s">
        <v>4758</v>
      </c>
      <c r="J45" s="88" t="s">
        <v>43</v>
      </c>
      <c r="K45" s="231" t="s">
        <v>173</v>
      </c>
      <c r="L45" s="88"/>
      <c r="M45" s="88"/>
      <c r="N45" s="19"/>
    </row>
    <row r="46" spans="1:14" ht="111.95">
      <c r="A46" s="204"/>
      <c r="B46" s="204"/>
      <c r="C46" s="88" t="s">
        <v>4759</v>
      </c>
      <c r="D46" s="88" t="s">
        <v>4760</v>
      </c>
      <c r="E46" s="88" t="s">
        <v>4675</v>
      </c>
      <c r="F46" s="88" t="s">
        <v>4761</v>
      </c>
      <c r="G46" s="88" t="s">
        <v>4573</v>
      </c>
      <c r="H46" s="88" t="s">
        <v>4762</v>
      </c>
      <c r="I46" s="88" t="s">
        <v>4763</v>
      </c>
      <c r="J46" s="88" t="s">
        <v>43</v>
      </c>
      <c r="K46" s="231" t="s">
        <v>173</v>
      </c>
      <c r="L46" s="88"/>
      <c r="M46" s="88"/>
      <c r="N46" s="29"/>
    </row>
    <row r="47" spans="1:14" ht="96">
      <c r="A47" s="204"/>
      <c r="B47" s="204"/>
      <c r="C47" s="88" t="s">
        <v>4764</v>
      </c>
      <c r="D47" s="88" t="s">
        <v>4765</v>
      </c>
      <c r="E47" s="88" t="s">
        <v>4675</v>
      </c>
      <c r="F47" s="88" t="s">
        <v>4766</v>
      </c>
      <c r="G47" s="88" t="s">
        <v>4573</v>
      </c>
      <c r="H47" s="88" t="s">
        <v>4767</v>
      </c>
      <c r="I47" s="88" t="s">
        <v>4768</v>
      </c>
      <c r="J47" s="88" t="s">
        <v>43</v>
      </c>
      <c r="K47" s="231" t="s">
        <v>173</v>
      </c>
      <c r="L47" s="88"/>
      <c r="M47" s="88"/>
      <c r="N47" s="29"/>
    </row>
    <row r="48" spans="1:14" ht="96">
      <c r="A48" s="204"/>
      <c r="B48" s="204"/>
      <c r="C48" s="88" t="s">
        <v>4769</v>
      </c>
      <c r="D48" s="88" t="s">
        <v>4770</v>
      </c>
      <c r="E48" s="88" t="s">
        <v>4675</v>
      </c>
      <c r="F48" s="88" t="s">
        <v>4771</v>
      </c>
      <c r="G48" s="88" t="s">
        <v>4573</v>
      </c>
      <c r="H48" s="88" t="s">
        <v>4772</v>
      </c>
      <c r="I48" s="88" t="s">
        <v>4773</v>
      </c>
      <c r="J48" s="88" t="s">
        <v>43</v>
      </c>
      <c r="K48" s="231" t="s">
        <v>173</v>
      </c>
      <c r="L48" s="88"/>
      <c r="M48" s="88"/>
      <c r="N48" s="29"/>
    </row>
    <row r="49" spans="1:14" ht="96">
      <c r="A49" s="205"/>
      <c r="B49" s="205"/>
      <c r="C49" s="88" t="s">
        <v>4774</v>
      </c>
      <c r="D49" s="88" t="s">
        <v>4775</v>
      </c>
      <c r="E49" s="88" t="s">
        <v>4632</v>
      </c>
      <c r="F49" s="88" t="s">
        <v>4776</v>
      </c>
      <c r="G49" s="88" t="s">
        <v>4573</v>
      </c>
      <c r="H49" s="88" t="s">
        <v>4777</v>
      </c>
      <c r="I49" s="88" t="s">
        <v>4778</v>
      </c>
      <c r="J49" s="88" t="s">
        <v>43</v>
      </c>
      <c r="K49" s="231" t="s">
        <v>173</v>
      </c>
      <c r="L49" s="88"/>
      <c r="M49" s="88"/>
      <c r="N49" s="29"/>
    </row>
    <row r="50" spans="1:14" ht="128.1">
      <c r="A50" s="204" t="s">
        <v>4779</v>
      </c>
      <c r="B50" s="204" t="s">
        <v>4780</v>
      </c>
      <c r="C50" s="88" t="s">
        <v>4781</v>
      </c>
      <c r="D50" s="88" t="s">
        <v>4782</v>
      </c>
      <c r="E50" s="88" t="s">
        <v>4632</v>
      </c>
      <c r="F50" s="88" t="s">
        <v>4783</v>
      </c>
      <c r="G50" s="88" t="s">
        <v>4573</v>
      </c>
      <c r="H50" s="88" t="s">
        <v>4784</v>
      </c>
      <c r="I50" s="88" t="s">
        <v>4785</v>
      </c>
      <c r="J50" s="88" t="s">
        <v>43</v>
      </c>
      <c r="K50" s="231" t="s">
        <v>173</v>
      </c>
      <c r="L50" s="88"/>
      <c r="M50" s="88"/>
      <c r="N50" s="29"/>
    </row>
    <row r="51" spans="1:14" ht="96">
      <c r="A51" s="204"/>
      <c r="B51" s="204"/>
      <c r="C51" s="88" t="s">
        <v>4786</v>
      </c>
      <c r="D51" s="88" t="s">
        <v>4787</v>
      </c>
      <c r="E51" s="88" t="s">
        <v>4632</v>
      </c>
      <c r="F51" s="88" t="s">
        <v>4788</v>
      </c>
      <c r="G51" s="88" t="s">
        <v>4573</v>
      </c>
      <c r="H51" s="88" t="s">
        <v>4789</v>
      </c>
      <c r="I51" s="88" t="s">
        <v>4790</v>
      </c>
      <c r="J51" s="88" t="s">
        <v>43</v>
      </c>
      <c r="K51" s="231" t="s">
        <v>173</v>
      </c>
      <c r="L51" s="88"/>
      <c r="M51" s="88"/>
      <c r="N51" s="29"/>
    </row>
    <row r="52" spans="1:14" ht="96">
      <c r="A52" s="204"/>
      <c r="B52" s="204"/>
      <c r="C52" s="88" t="s">
        <v>4791</v>
      </c>
      <c r="D52" s="88" t="s">
        <v>4792</v>
      </c>
      <c r="E52" s="88" t="s">
        <v>4632</v>
      </c>
      <c r="F52" s="88" t="s">
        <v>4793</v>
      </c>
      <c r="G52" s="88" t="s">
        <v>4573</v>
      </c>
      <c r="H52" s="88" t="s">
        <v>4794</v>
      </c>
      <c r="I52" s="88" t="s">
        <v>4795</v>
      </c>
      <c r="J52" s="88" t="s">
        <v>43</v>
      </c>
      <c r="K52" s="231" t="s">
        <v>173</v>
      </c>
      <c r="L52" s="88"/>
      <c r="M52" s="88"/>
      <c r="N52" s="29"/>
    </row>
    <row r="53" spans="1:14" ht="96">
      <c r="A53" s="204"/>
      <c r="B53" s="204"/>
      <c r="C53" s="88" t="s">
        <v>4796</v>
      </c>
      <c r="D53" s="88" t="s">
        <v>4797</v>
      </c>
      <c r="E53" s="88" t="s">
        <v>4632</v>
      </c>
      <c r="F53" s="88" t="s">
        <v>4798</v>
      </c>
      <c r="G53" s="88" t="s">
        <v>4573</v>
      </c>
      <c r="H53" s="88" t="s">
        <v>4799</v>
      </c>
      <c r="I53" s="88" t="s">
        <v>4800</v>
      </c>
      <c r="J53" s="88" t="s">
        <v>43</v>
      </c>
      <c r="K53" s="231" t="s">
        <v>173</v>
      </c>
      <c r="L53" s="88"/>
      <c r="M53" s="88"/>
      <c r="N53" s="29"/>
    </row>
    <row r="54" spans="1:14" ht="96">
      <c r="A54" s="204"/>
      <c r="B54" s="204"/>
      <c r="C54" s="88" t="s">
        <v>4801</v>
      </c>
      <c r="D54" s="88" t="s">
        <v>4802</v>
      </c>
      <c r="E54" s="88" t="s">
        <v>4632</v>
      </c>
      <c r="F54" s="88" t="s">
        <v>4803</v>
      </c>
      <c r="G54" s="88" t="s">
        <v>4573</v>
      </c>
      <c r="H54" s="88" t="s">
        <v>4804</v>
      </c>
      <c r="I54" s="88" t="s">
        <v>4805</v>
      </c>
      <c r="J54" s="88" t="s">
        <v>43</v>
      </c>
      <c r="K54" s="231" t="s">
        <v>173</v>
      </c>
      <c r="L54" s="88"/>
      <c r="M54" s="88"/>
      <c r="N54" s="29"/>
    </row>
    <row r="55" spans="1:14" ht="128.1">
      <c r="A55" s="205"/>
      <c r="B55" s="205"/>
      <c r="C55" s="88" t="s">
        <v>4806</v>
      </c>
      <c r="D55" s="88" t="s">
        <v>4807</v>
      </c>
      <c r="E55" s="88" t="s">
        <v>4632</v>
      </c>
      <c r="F55" s="88" t="s">
        <v>4808</v>
      </c>
      <c r="G55" s="88" t="s">
        <v>4573</v>
      </c>
      <c r="H55" s="88" t="s">
        <v>4809</v>
      </c>
      <c r="I55" s="88" t="s">
        <v>4810</v>
      </c>
      <c r="J55" s="88" t="s">
        <v>43</v>
      </c>
      <c r="K55" s="231" t="s">
        <v>173</v>
      </c>
      <c r="L55" s="88"/>
      <c r="M55" s="88"/>
      <c r="N55" s="29"/>
    </row>
    <row r="56" spans="1:14" ht="17.100000000000001">
      <c r="N56" s="29"/>
    </row>
  </sheetData>
  <mergeCells count="14">
    <mergeCell ref="B6:D6"/>
    <mergeCell ref="B1:D1"/>
    <mergeCell ref="B2:D2"/>
    <mergeCell ref="B3:D3"/>
    <mergeCell ref="B4:D4"/>
    <mergeCell ref="B5:D5"/>
    <mergeCell ref="A50:A55"/>
    <mergeCell ref="B50:B55"/>
    <mergeCell ref="B7:D7"/>
    <mergeCell ref="A8:A9"/>
    <mergeCell ref="A12:A28"/>
    <mergeCell ref="B12:B28"/>
    <mergeCell ref="A29:A49"/>
    <mergeCell ref="B29:B49"/>
  </mergeCells>
  <conditionalFormatting sqref="K12:K55">
    <cfRule type="containsText" dxfId="2" priority="1" operator="containsText" text="OPEN/PENDING">
      <formula>NOT(ISERROR(SEARCH("OPEN/PENDING",K12)))</formula>
    </cfRule>
    <cfRule type="containsText" dxfId="1" priority="2" operator="containsText" text="FAIL">
      <formula>NOT(ISERROR(SEARCH("FAIL",K12)))</formula>
    </cfRule>
    <cfRule type="containsText" dxfId="0" priority="3" operator="containsText" text="PASS">
      <formula>NOT(ISERROR(SEARCH("PASS",K12)))</formula>
    </cfRule>
  </conditionalFormatting>
  <dataValidations count="1">
    <dataValidation type="list" allowBlank="1" showInputMessage="1" showErrorMessage="1" sqref="K12:K55" xr:uid="{A3CDC0A9-A29B-4658-A5A3-E8460507CE38}">
      <formula1>"PASS, FAIL, OPEN,PENDING"</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7E38-E73A-4634-825A-5D7C58F00CC7}">
  <dimension ref="A1:K10"/>
  <sheetViews>
    <sheetView workbookViewId="0">
      <selection activeCell="B2" sqref="B2:D2"/>
    </sheetView>
  </sheetViews>
  <sheetFormatPr defaultColWidth="8.85546875" defaultRowHeight="15"/>
  <cols>
    <col min="1" max="1" width="25.7109375" customWidth="1"/>
    <col min="2" max="2" width="16.7109375" customWidth="1"/>
    <col min="3" max="3" width="21.42578125" customWidth="1"/>
    <col min="4" max="4" width="25.42578125" customWidth="1"/>
    <col min="5" max="5" width="27.140625" customWidth="1"/>
    <col min="6" max="8" width="37" customWidth="1"/>
    <col min="9" max="11" width="20.42578125" customWidth="1"/>
  </cols>
  <sheetData>
    <row r="1" spans="1:11" ht="36">
      <c r="A1" s="1" t="s">
        <v>439</v>
      </c>
      <c r="B1" s="192" t="s">
        <v>4811</v>
      </c>
      <c r="C1" s="192"/>
      <c r="D1" s="192"/>
      <c r="H1" s="14" t="s">
        <v>2</v>
      </c>
      <c r="I1" s="14" t="s">
        <v>3</v>
      </c>
      <c r="J1" s="14" t="s">
        <v>4</v>
      </c>
      <c r="K1" s="14" t="s">
        <v>5</v>
      </c>
    </row>
    <row r="2" spans="1:11" ht="42" customHeight="1">
      <c r="A2" s="2" t="s">
        <v>441</v>
      </c>
      <c r="B2" s="196"/>
      <c r="C2" s="196"/>
      <c r="D2" s="196"/>
    </row>
    <row r="3" spans="1:11" ht="42" customHeight="1">
      <c r="A3" s="1" t="s">
        <v>445</v>
      </c>
      <c r="B3" s="197"/>
      <c r="C3" s="197"/>
      <c r="D3" s="197"/>
    </row>
    <row r="4" spans="1:11" ht="42" customHeight="1">
      <c r="A4" s="1" t="s">
        <v>448</v>
      </c>
      <c r="B4" s="193" t="s">
        <v>15</v>
      </c>
      <c r="C4" s="193"/>
      <c r="D4" s="193"/>
    </row>
    <row r="5" spans="1:11" ht="42" customHeight="1">
      <c r="A5" s="1" t="s">
        <v>450</v>
      </c>
      <c r="B5" s="194">
        <v>45668</v>
      </c>
      <c r="C5" s="194"/>
      <c r="D5" s="194"/>
    </row>
    <row r="6" spans="1:11" ht="42" customHeight="1">
      <c r="A6" s="1" t="s">
        <v>451</v>
      </c>
      <c r="B6" s="195" t="s">
        <v>18</v>
      </c>
      <c r="C6" s="195"/>
      <c r="D6" s="195"/>
    </row>
    <row r="7" spans="1:11" ht="42" customHeight="1">
      <c r="A7" s="1" t="s">
        <v>452</v>
      </c>
      <c r="B7" s="189" t="s">
        <v>8</v>
      </c>
      <c r="C7" s="189"/>
      <c r="D7" s="189"/>
    </row>
    <row r="8" spans="1:11" ht="36">
      <c r="A8" s="190" t="s">
        <v>453</v>
      </c>
      <c r="B8" s="3" t="s">
        <v>454</v>
      </c>
      <c r="C8" s="4" t="s">
        <v>22</v>
      </c>
      <c r="D8" s="5" t="s">
        <v>23</v>
      </c>
    </row>
    <row r="9" spans="1:11" ht="17.100000000000001">
      <c r="A9" s="191"/>
      <c r="B9" s="6">
        <f>COUNTIF(J:J,"Pass")+COUNTIF(J:J,"Test Fail") +COUNTIF(J:J,"Open") + COUNTIF(J:J,"Pending") + COUNTIF(J:J,"Fixed")</f>
        <v>0</v>
      </c>
      <c r="C9" s="6">
        <f>COUNTIF(
J:J,"Pass")</f>
        <v>0</v>
      </c>
      <c r="D9" s="6">
        <f xml:space="preserve"> COUNTIF(
J:J,"Test Fail")</f>
        <v>0</v>
      </c>
    </row>
    <row r="10" spans="1:11" ht="72">
      <c r="A10" s="7" t="s">
        <v>455</v>
      </c>
      <c r="B10" s="8" t="s">
        <v>456</v>
      </c>
      <c r="C10" s="8" t="s">
        <v>457</v>
      </c>
      <c r="D10" s="8" t="s">
        <v>458</v>
      </c>
      <c r="E10" s="9" t="s">
        <v>459</v>
      </c>
      <c r="F10" s="10" t="s">
        <v>460</v>
      </c>
      <c r="G10" s="11" t="s">
        <v>461</v>
      </c>
      <c r="H10" s="13" t="s">
        <v>462</v>
      </c>
      <c r="I10" s="12" t="s">
        <v>32</v>
      </c>
      <c r="J10" s="12" t="s">
        <v>463</v>
      </c>
      <c r="K10" s="8" t="s">
        <v>464</v>
      </c>
    </row>
  </sheetData>
  <mergeCells count="8">
    <mergeCell ref="B7:D7"/>
    <mergeCell ref="A8:A9"/>
    <mergeCell ref="B1:D1"/>
    <mergeCell ref="B2:D2"/>
    <mergeCell ref="B3:D3"/>
    <mergeCell ref="B4:D4"/>
    <mergeCell ref="B5:D5"/>
    <mergeCell ref="B6:D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8D77-A57C-4106-90B5-B91815A3D2EF}">
  <dimension ref="A1:K10"/>
  <sheetViews>
    <sheetView workbookViewId="0">
      <selection activeCell="F7" sqref="F7"/>
    </sheetView>
  </sheetViews>
  <sheetFormatPr defaultColWidth="8.85546875" defaultRowHeight="15"/>
  <cols>
    <col min="1" max="1" width="25.7109375" customWidth="1"/>
    <col min="2" max="2" width="16.7109375" customWidth="1"/>
    <col min="3" max="3" width="21.42578125" customWidth="1"/>
    <col min="4" max="4" width="25.42578125" customWidth="1"/>
    <col min="5" max="5" width="27.140625" customWidth="1"/>
    <col min="6" max="8" width="37" customWidth="1"/>
    <col min="9" max="11" width="20.42578125" customWidth="1"/>
  </cols>
  <sheetData>
    <row r="1" spans="1:11" ht="36">
      <c r="A1" s="1" t="s">
        <v>439</v>
      </c>
      <c r="B1" s="192" t="s">
        <v>4812</v>
      </c>
      <c r="C1" s="192"/>
      <c r="D1" s="192"/>
      <c r="H1" s="14" t="s">
        <v>2</v>
      </c>
      <c r="I1" s="14" t="s">
        <v>3</v>
      </c>
      <c r="J1" s="14" t="s">
        <v>4</v>
      </c>
      <c r="K1" s="14" t="s">
        <v>5</v>
      </c>
    </row>
    <row r="2" spans="1:11" ht="42" customHeight="1">
      <c r="A2" s="2" t="s">
        <v>441</v>
      </c>
      <c r="B2" s="196"/>
      <c r="C2" s="196"/>
      <c r="D2" s="196"/>
    </row>
    <row r="3" spans="1:11" ht="42" customHeight="1">
      <c r="A3" s="1" t="s">
        <v>445</v>
      </c>
      <c r="B3" s="197"/>
      <c r="C3" s="197"/>
      <c r="D3" s="197"/>
    </row>
    <row r="4" spans="1:11" ht="42" customHeight="1">
      <c r="A4" s="1" t="s">
        <v>448</v>
      </c>
      <c r="B4" s="193" t="s">
        <v>15</v>
      </c>
      <c r="C4" s="193"/>
      <c r="D4" s="193"/>
    </row>
    <row r="5" spans="1:11" ht="42" customHeight="1">
      <c r="A5" s="1" t="s">
        <v>450</v>
      </c>
      <c r="B5" s="194">
        <v>45668</v>
      </c>
      <c r="C5" s="194"/>
      <c r="D5" s="194"/>
    </row>
    <row r="6" spans="1:11" ht="42" customHeight="1">
      <c r="A6" s="1" t="s">
        <v>451</v>
      </c>
      <c r="B6" s="195" t="s">
        <v>18</v>
      </c>
      <c r="C6" s="195"/>
      <c r="D6" s="195"/>
    </row>
    <row r="7" spans="1:11" ht="42" customHeight="1">
      <c r="A7" s="1" t="s">
        <v>452</v>
      </c>
      <c r="B7" s="189" t="s">
        <v>8</v>
      </c>
      <c r="C7" s="189"/>
      <c r="D7" s="189"/>
    </row>
    <row r="8" spans="1:11" ht="36">
      <c r="A8" s="190" t="s">
        <v>453</v>
      </c>
      <c r="B8" s="3" t="s">
        <v>454</v>
      </c>
      <c r="C8" s="4" t="s">
        <v>22</v>
      </c>
      <c r="D8" s="5" t="s">
        <v>23</v>
      </c>
    </row>
    <row r="9" spans="1:11" ht="17.100000000000001">
      <c r="A9" s="191"/>
      <c r="B9" s="6">
        <f>COUNTIF(J:J,"Pass")+COUNTIF(J:J,"Test Fail") +COUNTIF(J:J,"Open") + COUNTIF(J:J,"Pending") + COUNTIF(J:J,"Fixed")</f>
        <v>0</v>
      </c>
      <c r="C9" s="6">
        <f>COUNTIF(
J:J,"Pass")</f>
        <v>0</v>
      </c>
      <c r="D9" s="6">
        <f xml:space="preserve"> COUNTIF(
J:J,"Test Fail")</f>
        <v>0</v>
      </c>
    </row>
    <row r="10" spans="1:11" ht="72">
      <c r="A10" s="7" t="s">
        <v>455</v>
      </c>
      <c r="B10" s="8" t="s">
        <v>456</v>
      </c>
      <c r="C10" s="8" t="s">
        <v>457</v>
      </c>
      <c r="D10" s="8" t="s">
        <v>458</v>
      </c>
      <c r="E10" s="9" t="s">
        <v>459</v>
      </c>
      <c r="F10" s="10" t="s">
        <v>460</v>
      </c>
      <c r="G10" s="11" t="s">
        <v>461</v>
      </c>
      <c r="H10" s="13" t="s">
        <v>462</v>
      </c>
      <c r="I10" s="12" t="s">
        <v>32</v>
      </c>
      <c r="J10" s="12" t="s">
        <v>463</v>
      </c>
      <c r="K10" s="8" t="s">
        <v>464</v>
      </c>
    </row>
  </sheetData>
  <mergeCells count="8">
    <mergeCell ref="B7:D7"/>
    <mergeCell ref="A8:A9"/>
    <mergeCell ref="B1:D1"/>
    <mergeCell ref="B2:D2"/>
    <mergeCell ref="B3:D3"/>
    <mergeCell ref="B4:D4"/>
    <mergeCell ref="B5:D5"/>
    <mergeCell ref="B6:D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F3023B0D4DEA408E8F46E064FCAEBB" ma:contentTypeVersion="11" ma:contentTypeDescription="Create a new document." ma:contentTypeScope="" ma:versionID="50615bc07649f306844602baf7912244">
  <xsd:schema xmlns:xsd="http://www.w3.org/2001/XMLSchema" xmlns:xs="http://www.w3.org/2001/XMLSchema" xmlns:p="http://schemas.microsoft.com/office/2006/metadata/properties" xmlns:ns2="23ee3974-b845-460f-9340-9d69d1c2bcdd" xmlns:ns3="b998f303-6fd7-4496-a9f5-7028fd878039" targetNamespace="http://schemas.microsoft.com/office/2006/metadata/properties" ma:root="true" ma:fieldsID="abfe12063718bc37948028cba414c90c" ns2:_="" ns3:_="">
    <xsd:import namespace="23ee3974-b845-460f-9340-9d69d1c2bcdd"/>
    <xsd:import namespace="b998f303-6fd7-4496-a9f5-7028fd8780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ee3974-b845-460f-9340-9d69d1c2b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e28a0b-0780-46c0-a1c9-d669211fdf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98f303-6fd7-4496-a9f5-7028fd87803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4533502-b06f-400a-b7cb-0a23caa6cdc0}" ma:internalName="TaxCatchAll" ma:showField="CatchAllData" ma:web="b998f303-6fd7-4496-a9f5-7028fd8780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998f303-6fd7-4496-a9f5-7028fd878039" xsi:nil="true"/>
    <lcf76f155ced4ddcb4097134ff3c332f xmlns="23ee3974-b845-460f-9340-9d69d1c2bc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9100804-7251-457E-9076-C1DDF840122D}"/>
</file>

<file path=customXml/itemProps2.xml><?xml version="1.0" encoding="utf-8"?>
<ds:datastoreItem xmlns:ds="http://schemas.openxmlformats.org/officeDocument/2006/customXml" ds:itemID="{D98F38E7-C461-40F1-802A-C4055DECD1C7}"/>
</file>

<file path=customXml/itemProps3.xml><?xml version="1.0" encoding="utf-8"?>
<ds:datastoreItem xmlns:ds="http://schemas.openxmlformats.org/officeDocument/2006/customXml" ds:itemID="{ACAAA9BB-A144-48B9-BC74-196014D8EA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2025-11-02T05:29:34Z</dcterms:created>
  <dcterms:modified xsi:type="dcterms:W3CDTF">2026-09-14T07:12:18Z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0x010100F6F3023B0D4DEA408E8F46E064FCAEBB</vt:lpwstr>
  </property>
  <property fmtid="{D5CDD505-2E9C-101B-9397-08002B2CF9AE}" pid="3" name="MediaServiceImageTags">
    <vt:lpwstr/>
  </property>
</Properties>
</file>